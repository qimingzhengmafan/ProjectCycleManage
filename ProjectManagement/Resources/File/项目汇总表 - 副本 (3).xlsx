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filterPrivacy="1" defaultThemeVersion="124226"/>
  <xr:revisionPtr revIDLastSave="0" documentId="13_ncr:1_{D4BB00CA-CE6B-4B11-9EEC-1FDE8151E2D3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2022年" sheetId="1" r:id="rId1"/>
    <sheet name="Sheet1" sheetId="2" r:id="rId2"/>
  </sheets>
  <definedNames>
    <definedName name="_xlnm._FilterDatabase" localSheetId="0" hidden="1">'2022年'!$B$3:$P$121</definedName>
  </definedNames>
  <calcPr calcId="191029"/>
</workbook>
</file>

<file path=xl/calcChain.xml><?xml version="1.0" encoding="utf-8"?>
<calcChain xmlns="http://schemas.openxmlformats.org/spreadsheetml/2006/main">
  <c r="B60" i="1" l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58" i="1"/>
  <c r="B59" i="1"/>
  <c r="B91" i="1" l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6" i="1" l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80" i="1"/>
  <c r="B81" i="1"/>
  <c r="B82" i="1"/>
  <c r="B83" i="1"/>
  <c r="B84" i="1"/>
  <c r="B85" i="1"/>
  <c r="B86" i="1"/>
  <c r="B87" i="1"/>
  <c r="B88" i="1"/>
  <c r="B89" i="1"/>
  <c r="B90" i="1"/>
  <c r="B121" i="1"/>
  <c r="B5" i="1"/>
  <c r="L8" i="2" l="1"/>
  <c r="L7" i="2"/>
  <c r="L6" i="2"/>
  <c r="L5" i="2"/>
  <c r="L4" i="2"/>
  <c r="L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E6" authorId="0" shapeId="0" xr:uid="{00000000-0006-0000-0000-000002000000}">
      <text>
        <r>
          <rPr>
            <b/>
            <sz val="9"/>
            <color indexed="81"/>
            <rFont val="宋体"/>
            <family val="3"/>
            <charset val="134"/>
          </rPr>
          <t>cone模组玻璃管锥镜平移设备</t>
        </r>
      </text>
    </comment>
    <comment ref="E8" authorId="0" shapeId="0" xr:uid="{00000000-0006-0000-0000-000003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已打</t>
        </r>
      </text>
    </comment>
    <comment ref="E17" authorId="0" shapeId="0" xr:uid="{00000000-0006-0000-0000-000005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总价格包含供料系统</t>
        </r>
      </text>
    </comment>
    <comment ref="E18" authorId="0" shapeId="0" xr:uid="{00000000-0006-0000-0000-000006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总价包含供料系统</t>
        </r>
      </text>
    </comment>
    <comment ref="E22" authorId="0" shapeId="0" xr:uid="{00000000-0006-0000-0000-000007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DWRF01外壳螺丝供料机
通用三轴螺丝机平台</t>
        </r>
      </text>
    </comment>
    <comment ref="E25" authorId="0" shapeId="0" xr:uid="{00000000-0006-0000-0000-000008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已打</t>
        </r>
      </text>
    </comment>
    <comment ref="E27" authorId="0" shapeId="0" xr:uid="{00000000-0006-0000-0000-000009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已打</t>
        </r>
      </text>
    </comment>
    <comment ref="E30" authorId="0" shapeId="0" xr:uid="{00000000-0006-0000-0000-00000A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已打</t>
        </r>
      </text>
    </comment>
    <comment ref="E31" authorId="0" shapeId="0" xr:uid="{00000000-0006-0000-0000-00000B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已打</t>
        </r>
      </text>
    </comment>
    <comment ref="E32" authorId="0" shapeId="0" xr:uid="{00000000-0006-0000-0000-00000C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已打</t>
        </r>
      </text>
    </comment>
    <comment ref="E35" authorId="0" shapeId="0" xr:uid="{00000000-0006-0000-0000-00000D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已打</t>
        </r>
      </text>
    </comment>
    <comment ref="E37" authorId="0" shapeId="0" xr:uid="{00000000-0006-0000-0000-00000E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已打</t>
        </r>
      </text>
    </comment>
    <comment ref="M37" authorId="0" shapeId="0" xr:uid="{00000000-0006-0000-0000-00000F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预计6-7月开始启动开发</t>
        </r>
      </text>
    </comment>
    <comment ref="E41" authorId="0" shapeId="0" xr:uid="{00000000-0006-0000-0000-000010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已打</t>
        </r>
      </text>
    </comment>
    <comment ref="E42" authorId="0" shapeId="0" xr:uid="{00000000-0006-0000-0000-000011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已打</t>
        </r>
      </text>
    </comment>
    <comment ref="E44" authorId="0" shapeId="0" xr:uid="{00000000-0006-0000-0000-000012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已打</t>
        </r>
      </text>
    </comment>
    <comment ref="E45" authorId="0" shapeId="0" xr:uid="{00000000-0006-0000-0000-000013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已打</t>
        </r>
      </text>
    </comment>
    <comment ref="E46" authorId="0" shapeId="0" xr:uid="{00000000-0006-0000-0000-000014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已打</t>
        </r>
      </text>
    </comment>
    <comment ref="E47" authorId="0" shapeId="0" xr:uid="{00000000-0006-0000-0000-000015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已打</t>
        </r>
      </text>
    </comment>
    <comment ref="E48" authorId="0" shapeId="0" xr:uid="{00000000-0006-0000-0000-000016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已打</t>
        </r>
      </text>
    </comment>
    <comment ref="E49" authorId="0" shapeId="0" xr:uid="{00000000-0006-0000-0000-000017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已打</t>
        </r>
      </text>
    </comment>
    <comment ref="E50" authorId="0" shapeId="0" xr:uid="{00000000-0006-0000-0000-000018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已打</t>
        </r>
      </text>
    </comment>
    <comment ref="E51" authorId="0" shapeId="0" xr:uid="{00000000-0006-0000-0000-000019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已打</t>
        </r>
      </text>
    </comment>
    <comment ref="E53" authorId="0" shapeId="0" xr:uid="{00000000-0006-0000-0000-00001A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已打</t>
        </r>
      </text>
    </comment>
    <comment ref="E54" authorId="0" shapeId="0" xr:uid="{00000000-0006-0000-0000-00001B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已打</t>
        </r>
      </text>
    </comment>
    <comment ref="E55" authorId="0" shapeId="0" xr:uid="{00000000-0006-0000-0000-00001C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已打</t>
        </r>
      </text>
    </comment>
    <comment ref="M55" authorId="0" shapeId="0" xr:uid="{00000000-0006-0000-0000-00001D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预计6-7月开始启动开发</t>
        </r>
      </text>
    </comment>
    <comment ref="E56" authorId="0" shapeId="0" xr:uid="{00000000-0006-0000-0000-00001E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已打</t>
        </r>
      </text>
    </comment>
    <comment ref="E58" authorId="0" shapeId="0" xr:uid="{00000000-0006-0000-0000-00001F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已打</t>
        </r>
      </text>
    </comment>
    <comment ref="E59" authorId="0" shapeId="0" xr:uid="{00000000-0006-0000-0000-000020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已打</t>
        </r>
      </text>
    </comment>
    <comment ref="E60" authorId="0" shapeId="0" xr:uid="{00000000-0006-0000-0000-000021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已打</t>
        </r>
      </text>
    </comment>
    <comment ref="E67" authorId="0" shapeId="0" xr:uid="{00000000-0006-0000-0000-000022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已打</t>
        </r>
      </text>
    </comment>
    <comment ref="E68" authorId="0" shapeId="0" xr:uid="{00000000-0006-0000-0000-000023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已打</t>
        </r>
      </text>
    </comment>
    <comment ref="E69" authorId="0" shapeId="0" xr:uid="{00000000-0006-0000-0000-000024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已打</t>
        </r>
      </text>
    </comment>
    <comment ref="E70" authorId="0" shapeId="0" xr:uid="{00000000-0006-0000-0000-000025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已打</t>
        </r>
      </text>
    </comment>
    <comment ref="E71" authorId="0" shapeId="0" xr:uid="{00000000-0006-0000-0000-000026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已打</t>
        </r>
      </text>
    </comment>
    <comment ref="E72" authorId="0" shapeId="0" xr:uid="{00000000-0006-0000-0000-000027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已打</t>
        </r>
      </text>
    </comment>
    <comment ref="E73" authorId="0" shapeId="0" xr:uid="{00000000-0006-0000-0000-000028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已打</t>
        </r>
      </text>
    </comment>
    <comment ref="E74" authorId="0" shapeId="0" xr:uid="{00000000-0006-0000-0000-000029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已打</t>
        </r>
      </text>
    </comment>
    <comment ref="E76" authorId="0" shapeId="0" xr:uid="{00000000-0006-0000-0000-00002A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已打</t>
        </r>
      </text>
    </comment>
    <comment ref="E77" authorId="0" shapeId="0" xr:uid="{00000000-0006-0000-0000-00002B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已打</t>
        </r>
      </text>
    </comment>
    <comment ref="E78" authorId="0" shapeId="0" xr:uid="{00000000-0006-0000-0000-00002C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已打
</t>
        </r>
      </text>
    </comment>
    <comment ref="E79" authorId="0" shapeId="0" xr:uid="{00000000-0006-0000-0000-00002D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已打</t>
        </r>
      </text>
    </comment>
    <comment ref="E80" authorId="0" shapeId="0" xr:uid="{00000000-0006-0000-0000-00002E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已打</t>
        </r>
      </text>
    </comment>
    <comment ref="E81" authorId="0" shapeId="0" xr:uid="{00000000-0006-0000-0000-00002F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已打</t>
        </r>
      </text>
    </comment>
    <comment ref="E82" authorId="0" shapeId="0" xr:uid="{00000000-0006-0000-0000-000030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已打</t>
        </r>
      </text>
    </comment>
    <comment ref="E83" authorId="0" shapeId="0" xr:uid="{00000000-0006-0000-0000-000031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已打</t>
        </r>
      </text>
    </comment>
  </commentList>
</comments>
</file>

<file path=xl/sharedStrings.xml><?xml version="1.0" encoding="utf-8"?>
<sst xmlns="http://schemas.openxmlformats.org/spreadsheetml/2006/main" count="632" uniqueCount="282">
  <si>
    <t>项目阶段</t>
    <phoneticPr fontId="1" type="noConversion"/>
  </si>
  <si>
    <t>完成</t>
  </si>
  <si>
    <t>HDGC2022001</t>
    <phoneticPr fontId="1" type="noConversion"/>
  </si>
  <si>
    <t>HDGC2022002</t>
  </si>
  <si>
    <t>摆体自动打机米螺丝设备</t>
    <phoneticPr fontId="1" type="noConversion"/>
  </si>
  <si>
    <t>HDGC2022003</t>
  </si>
  <si>
    <t>HDGC2022004</t>
  </si>
  <si>
    <t>HDGC2022005</t>
  </si>
  <si>
    <t>粗调微调寿命测试设备</t>
  </si>
  <si>
    <t>HDGC2022006</t>
  </si>
  <si>
    <t>HDGC2022007</t>
  </si>
  <si>
    <t>HDGC2022008</t>
  </si>
  <si>
    <t>HDGC2022009</t>
  </si>
  <si>
    <t>模组自动压LD设备</t>
    <phoneticPr fontId="1" type="noConversion"/>
  </si>
  <si>
    <t>HDGC2022010</t>
  </si>
  <si>
    <t>HDGC2022011</t>
  </si>
  <si>
    <t>HDGC2022012</t>
  </si>
  <si>
    <t>HDGC2022013</t>
  </si>
  <si>
    <t>HDGC2022014</t>
  </si>
  <si>
    <t>HDGC2022015</t>
  </si>
  <si>
    <t>HDGC2022016</t>
  </si>
  <si>
    <t>朱成绪</t>
    <phoneticPr fontId="1" type="noConversion"/>
  </si>
  <si>
    <t>董鑫</t>
    <phoneticPr fontId="1" type="noConversion"/>
  </si>
  <si>
    <t>HD-2304-088</t>
    <phoneticPr fontId="1" type="noConversion"/>
  </si>
  <si>
    <t>HD-5601-028</t>
    <phoneticPr fontId="1" type="noConversion"/>
  </si>
  <si>
    <t>HD-3215-263</t>
    <phoneticPr fontId="1" type="noConversion"/>
  </si>
  <si>
    <t>新增</t>
  </si>
  <si>
    <t>设备采购</t>
  </si>
  <si>
    <t>改善</t>
  </si>
  <si>
    <t>MK L型支架自动点胶机</t>
    <phoneticPr fontId="1" type="noConversion"/>
  </si>
  <si>
    <t>MK L型支架自动打螺丝机</t>
    <phoneticPr fontId="1" type="noConversion"/>
  </si>
  <si>
    <t>微变量校准设备</t>
    <phoneticPr fontId="1" type="noConversion"/>
  </si>
  <si>
    <t>HD-3101-4343</t>
    <phoneticPr fontId="1" type="noConversion"/>
  </si>
  <si>
    <t>摆体UV固化设备</t>
    <phoneticPr fontId="1" type="noConversion"/>
  </si>
  <si>
    <t>已完成</t>
  </si>
  <si>
    <t>地板仪DWRF01窗玻璃自动点胶设备</t>
    <phoneticPr fontId="1" type="noConversion"/>
  </si>
  <si>
    <t>项目需求</t>
  </si>
  <si>
    <t>复制</t>
  </si>
  <si>
    <t>密封胶点胶设备</t>
    <phoneticPr fontId="1" type="noConversion"/>
  </si>
  <si>
    <t>HD-3215-261</t>
    <phoneticPr fontId="1" type="noConversion"/>
  </si>
  <si>
    <t>HD-3204-592</t>
    <phoneticPr fontId="1" type="noConversion"/>
  </si>
  <si>
    <t>HD-3215-266</t>
    <phoneticPr fontId="1" type="noConversion"/>
  </si>
  <si>
    <t>HD-3215-267</t>
    <phoneticPr fontId="1" type="noConversion"/>
  </si>
  <si>
    <t>窗罩锁螺丝点胶设备</t>
    <phoneticPr fontId="1" type="noConversion"/>
  </si>
  <si>
    <t>HDGC2022017</t>
  </si>
  <si>
    <t>HDGC2022018</t>
  </si>
  <si>
    <t>HDGC2022019</t>
  </si>
  <si>
    <t>HDGC2022020</t>
    <phoneticPr fontId="1" type="noConversion"/>
  </si>
  <si>
    <t>HDGC2022021</t>
  </si>
  <si>
    <t>HDGC2022022</t>
  </si>
  <si>
    <t>HDGC2022023</t>
  </si>
  <si>
    <t>暂停</t>
  </si>
  <si>
    <t>Hilti整机报警电压自动切换设备</t>
    <phoneticPr fontId="1" type="noConversion"/>
  </si>
  <si>
    <t>Hilti整机光功率测试设备</t>
    <phoneticPr fontId="1" type="noConversion"/>
  </si>
  <si>
    <t>A1030外壳自动打螺机设备（通用三轴螺丝机平台）</t>
    <phoneticPr fontId="1" type="noConversion"/>
  </si>
  <si>
    <t>A1030自动点胶机设备（通用三轴点胶平台）</t>
    <phoneticPr fontId="1" type="noConversion"/>
  </si>
  <si>
    <t>地板仪DWRF01外壳自动打螺丝设备</t>
    <phoneticPr fontId="1" type="noConversion"/>
  </si>
  <si>
    <t>海葵摆体UV固化设备</t>
    <phoneticPr fontId="1" type="noConversion"/>
  </si>
  <si>
    <t>进行中</t>
  </si>
  <si>
    <t>HD-3106-044</t>
    <phoneticPr fontId="1" type="noConversion"/>
  </si>
  <si>
    <t>设备接收</t>
  </si>
  <si>
    <t>高低温在线设备</t>
    <phoneticPr fontId="1" type="noConversion"/>
  </si>
  <si>
    <t>HDGC2022024</t>
    <phoneticPr fontId="1" type="noConversion"/>
  </si>
  <si>
    <t>HD-3101-4371</t>
    <phoneticPr fontId="1" type="noConversion"/>
  </si>
  <si>
    <t>HDGC2022025</t>
  </si>
  <si>
    <t>HD-5106-103</t>
    <phoneticPr fontId="1" type="noConversion"/>
  </si>
  <si>
    <t>2022—2023</t>
    <phoneticPr fontId="1" type="noConversion"/>
  </si>
  <si>
    <t>朱成绪</t>
    <phoneticPr fontId="1" type="noConversion"/>
  </si>
  <si>
    <t>工程设备项目汇总</t>
    <phoneticPr fontId="1" type="noConversion"/>
  </si>
  <si>
    <t>方案评审</t>
  </si>
  <si>
    <t>董鑫</t>
    <phoneticPr fontId="1" type="noConversion"/>
  </si>
  <si>
    <t>未启动</t>
  </si>
  <si>
    <t>五点模组自动校准设备</t>
    <phoneticPr fontId="1" type="noConversion"/>
  </si>
  <si>
    <t>移动式光管系统</t>
    <phoneticPr fontId="1" type="noConversion"/>
  </si>
  <si>
    <t>线质量检测系统</t>
    <phoneticPr fontId="1" type="noConversion"/>
  </si>
  <si>
    <t>余阳</t>
    <phoneticPr fontId="1" type="noConversion"/>
  </si>
  <si>
    <t>HDGC2023001</t>
    <phoneticPr fontId="1" type="noConversion"/>
  </si>
  <si>
    <t>HDGC2023003</t>
  </si>
  <si>
    <t>HDGC2023004</t>
  </si>
  <si>
    <t>HDGC2023005</t>
  </si>
  <si>
    <t>HDGC2023007</t>
  </si>
  <si>
    <t>HDGC2023008</t>
  </si>
  <si>
    <t>HDGC2023009</t>
  </si>
  <si>
    <t>朱成绪</t>
    <phoneticPr fontId="1" type="noConversion"/>
  </si>
  <si>
    <t>董鑫</t>
    <phoneticPr fontId="1" type="noConversion"/>
  </si>
  <si>
    <t>包装ccd防错检测设备</t>
    <phoneticPr fontId="1" type="noConversion"/>
  </si>
  <si>
    <t>HD-2403-054</t>
    <phoneticPr fontId="1" type="noConversion"/>
  </si>
  <si>
    <t>HD-3106-043</t>
    <phoneticPr fontId="1" type="noConversion"/>
  </si>
  <si>
    <t>HD-2304-313</t>
    <phoneticPr fontId="1" type="noConversion"/>
  </si>
  <si>
    <t>HD-3215-283</t>
    <phoneticPr fontId="1" type="noConversion"/>
  </si>
  <si>
    <t>防尘套清洗设备（超声波清洗设备）</t>
    <phoneticPr fontId="1" type="noConversion"/>
  </si>
  <si>
    <t>HD-3215-269</t>
    <phoneticPr fontId="1" type="noConversion"/>
  </si>
  <si>
    <t>HD-3215-281
HD-3215-279</t>
    <phoneticPr fontId="1" type="noConversion"/>
  </si>
  <si>
    <t>通用三轴螺丝机平台</t>
    <phoneticPr fontId="1" type="noConversion"/>
  </si>
  <si>
    <t>坡度检测设备</t>
    <phoneticPr fontId="1" type="noConversion"/>
  </si>
  <si>
    <t>微变量校准设备</t>
    <phoneticPr fontId="1" type="noConversion"/>
  </si>
  <si>
    <t>HDGC2023011</t>
    <phoneticPr fontId="1" type="noConversion"/>
  </si>
  <si>
    <t>缺视频</t>
    <phoneticPr fontId="1" type="noConversion"/>
  </si>
  <si>
    <t>设备验收</t>
  </si>
  <si>
    <t>HD-2304-312</t>
    <phoneticPr fontId="1" type="noConversion"/>
  </si>
  <si>
    <t>AA验证设备</t>
    <phoneticPr fontId="1" type="noConversion"/>
  </si>
  <si>
    <t>HDGC2023012</t>
  </si>
  <si>
    <t>项目名称</t>
    <phoneticPr fontId="1" type="noConversion"/>
  </si>
  <si>
    <t>项目需求</t>
    <phoneticPr fontId="1" type="noConversion"/>
  </si>
  <si>
    <t>立项评审</t>
    <phoneticPr fontId="1" type="noConversion"/>
  </si>
  <si>
    <t>方案评审</t>
    <phoneticPr fontId="1" type="noConversion"/>
  </si>
  <si>
    <t>设备采购</t>
    <phoneticPr fontId="1" type="noConversion"/>
  </si>
  <si>
    <t>预验收</t>
    <phoneticPr fontId="1" type="noConversion"/>
  </si>
  <si>
    <t>设备接收</t>
    <phoneticPr fontId="1" type="noConversion"/>
  </si>
  <si>
    <t>设备验收</t>
    <phoneticPr fontId="1" type="noConversion"/>
  </si>
  <si>
    <t>完成</t>
    <phoneticPr fontId="1" type="noConversion"/>
  </si>
  <si>
    <t>序号</t>
    <phoneticPr fontId="1" type="noConversion"/>
  </si>
  <si>
    <t>完成时间</t>
    <phoneticPr fontId="1" type="noConversion"/>
  </si>
  <si>
    <t>计划</t>
    <phoneticPr fontId="1" type="noConversion"/>
  </si>
  <si>
    <t>实际</t>
    <phoneticPr fontId="1" type="noConversion"/>
  </si>
  <si>
    <t>A</t>
    <phoneticPr fontId="1" type="noConversion"/>
  </si>
  <si>
    <t>B</t>
    <phoneticPr fontId="1" type="noConversion"/>
  </si>
  <si>
    <t>进度条</t>
    <phoneticPr fontId="1" type="noConversion"/>
  </si>
  <si>
    <t>C</t>
    <phoneticPr fontId="1" type="noConversion"/>
  </si>
  <si>
    <t>HD-3106-215</t>
    <phoneticPr fontId="1" type="noConversion"/>
  </si>
  <si>
    <t>LD筛选设备</t>
    <phoneticPr fontId="1" type="noConversion"/>
  </si>
  <si>
    <t>朱成绪</t>
    <phoneticPr fontId="1" type="noConversion"/>
  </si>
  <si>
    <t>HDGC2024001</t>
    <phoneticPr fontId="1" type="noConversion"/>
  </si>
  <si>
    <t>HDGC2024002</t>
  </si>
  <si>
    <t>HDGC2024004</t>
  </si>
  <si>
    <t>HDGC2024005</t>
  </si>
  <si>
    <t>HDGC2024007</t>
  </si>
  <si>
    <t>HDGC2024008</t>
  </si>
  <si>
    <t>HDGC2024010</t>
  </si>
  <si>
    <t>余阳</t>
    <phoneticPr fontId="1" type="noConversion"/>
  </si>
  <si>
    <t>非标外购</t>
  </si>
  <si>
    <t>董鑫</t>
    <phoneticPr fontId="1" type="noConversion"/>
  </si>
  <si>
    <t>朱成绪</t>
    <phoneticPr fontId="1" type="noConversion"/>
  </si>
  <si>
    <t>非标自制</t>
  </si>
  <si>
    <t>标准外购</t>
  </si>
  <si>
    <t>预验收/组装调试</t>
  </si>
  <si>
    <t>HDGC2023002</t>
    <phoneticPr fontId="1" type="noConversion"/>
  </si>
  <si>
    <t>HDGC2024009</t>
    <phoneticPr fontId="1" type="noConversion"/>
  </si>
  <si>
    <t>HDGC2024011</t>
    <phoneticPr fontId="1" type="noConversion"/>
  </si>
  <si>
    <t>HDGC2024012</t>
  </si>
  <si>
    <t>HDGC2024016</t>
  </si>
  <si>
    <t>HDGC2024017</t>
  </si>
  <si>
    <t>HDGC2024018</t>
  </si>
  <si>
    <t>HDGC2024013</t>
    <phoneticPr fontId="1" type="noConversion"/>
  </si>
  <si>
    <t>HDGC2024015</t>
    <phoneticPr fontId="1" type="noConversion"/>
  </si>
  <si>
    <t>激光快速成型机（3D打印机）</t>
    <phoneticPr fontId="1" type="noConversion"/>
  </si>
  <si>
    <t>*音量检测设备(E1106)</t>
    <phoneticPr fontId="1" type="noConversion"/>
  </si>
  <si>
    <t>*三轴点胶平移台（E1106接收器窗罩点胶设备）</t>
    <phoneticPr fontId="1" type="noConversion"/>
  </si>
  <si>
    <t>*高温在线功率检测设备</t>
    <phoneticPr fontId="1" type="noConversion"/>
  </si>
  <si>
    <t>洁净房</t>
    <phoneticPr fontId="1" type="noConversion"/>
  </si>
  <si>
    <t>*高低温在线试验设备</t>
    <phoneticPr fontId="1" type="noConversion"/>
  </si>
  <si>
    <t>*越障设备</t>
    <phoneticPr fontId="1" type="noConversion"/>
  </si>
  <si>
    <t>HD-3207-362</t>
    <phoneticPr fontId="1" type="noConversion"/>
  </si>
  <si>
    <t>*摆体自动打机米螺丝设备</t>
    <phoneticPr fontId="1" type="noConversion"/>
  </si>
  <si>
    <t>*光轴自动校准设备</t>
    <phoneticPr fontId="1" type="noConversion"/>
  </si>
  <si>
    <t>HDGC2024003</t>
    <phoneticPr fontId="1" type="noConversion"/>
  </si>
  <si>
    <t>HD-3404-208</t>
    <phoneticPr fontId="1" type="noConversion"/>
  </si>
  <si>
    <t>HD-3207-363</t>
    <phoneticPr fontId="1" type="noConversion"/>
  </si>
  <si>
    <t>*点线模组自动打螺丝设备</t>
    <phoneticPr fontId="1" type="noConversion"/>
  </si>
  <si>
    <t>*玻璃管与锥镜自动上下料设备</t>
    <phoneticPr fontId="1" type="noConversion"/>
  </si>
  <si>
    <t>LEICA 3CONE窗罩组装自动打螺丝设备</t>
    <phoneticPr fontId="1" type="noConversion"/>
  </si>
  <si>
    <t>磁钢点胶</t>
    <phoneticPr fontId="1" type="noConversion"/>
  </si>
  <si>
    <t>整机光功率自动检测设备</t>
    <phoneticPr fontId="1" type="noConversion"/>
  </si>
  <si>
    <t>锁紧机构组装</t>
    <phoneticPr fontId="1" type="noConversion"/>
  </si>
  <si>
    <t>微变量校准设备线质量自动检测</t>
    <phoneticPr fontId="1" type="noConversion"/>
  </si>
  <si>
    <t>*模组LD驱动板自动焊接设备</t>
    <phoneticPr fontId="1" type="noConversion"/>
  </si>
  <si>
    <t>*光管聚焦设备</t>
    <phoneticPr fontId="1" type="noConversion"/>
  </si>
  <si>
    <t>*摆体自动打机米螺丝设备（改善）</t>
    <phoneticPr fontId="1" type="noConversion"/>
  </si>
  <si>
    <t>HDGC2024019</t>
  </si>
  <si>
    <t>HDGC2024021</t>
  </si>
  <si>
    <t>HDGC2024022</t>
  </si>
  <si>
    <t>HDGC2024023</t>
  </si>
  <si>
    <t>HDGC2024024</t>
  </si>
  <si>
    <t>HDGC2024025</t>
  </si>
  <si>
    <t>HDGC2024026</t>
  </si>
  <si>
    <t>HDGC2024027</t>
  </si>
  <si>
    <t>*三轴点胶平移台（A4063L型支脚脚垫点胶设备）</t>
    <phoneticPr fontId="1" type="noConversion"/>
  </si>
  <si>
    <t>HD-3404-206</t>
    <phoneticPr fontId="1" type="noConversion"/>
  </si>
  <si>
    <t>HD-3106-217</t>
    <phoneticPr fontId="1" type="noConversion"/>
  </si>
  <si>
    <t>*A4063L型支架磁钢底板打磁钢工装</t>
    <phoneticPr fontId="1" type="noConversion"/>
  </si>
  <si>
    <t>HD-2304-092</t>
    <phoneticPr fontId="1" type="noConversion"/>
  </si>
  <si>
    <t>*E1106接收器打磁钢工装</t>
    <phoneticPr fontId="1" type="noConversion"/>
  </si>
  <si>
    <t>HDGC2024006</t>
    <phoneticPr fontId="1" type="noConversion"/>
  </si>
  <si>
    <t>HD-2304-093</t>
    <phoneticPr fontId="1" type="noConversion"/>
  </si>
  <si>
    <t>HDGC2024020</t>
    <phoneticPr fontId="1" type="noConversion"/>
  </si>
  <si>
    <t>HD-2403-055</t>
    <phoneticPr fontId="1" type="noConversion"/>
  </si>
  <si>
    <t>董鑫</t>
    <phoneticPr fontId="1" type="noConversion"/>
  </si>
  <si>
    <t>模组光功率自动检测设备</t>
    <phoneticPr fontId="1" type="noConversion"/>
  </si>
  <si>
    <t>HD-3106-221</t>
    <phoneticPr fontId="1" type="noConversion"/>
  </si>
  <si>
    <t>HD-2304-094</t>
    <phoneticPr fontId="1" type="noConversion"/>
  </si>
  <si>
    <t>HD-2304-091</t>
    <phoneticPr fontId="1" type="noConversion"/>
  </si>
  <si>
    <t xml:space="preserve">HD-2304-089清理改造 
</t>
    <phoneticPr fontId="1" type="noConversion"/>
  </si>
  <si>
    <t>*摆体支架螺纹胶快速固化设备</t>
    <phoneticPr fontId="1" type="noConversion"/>
  </si>
  <si>
    <t>HDGC2024028</t>
    <phoneticPr fontId="1" type="noConversion"/>
  </si>
  <si>
    <t>HDGC2024029</t>
    <phoneticPr fontId="1" type="noConversion"/>
  </si>
  <si>
    <t>HDGC2024030</t>
    <phoneticPr fontId="1" type="noConversion"/>
  </si>
  <si>
    <t>HDGC2024031</t>
    <phoneticPr fontId="1" type="noConversion"/>
  </si>
  <si>
    <t>HDGC2024032</t>
    <phoneticPr fontId="1" type="noConversion"/>
  </si>
  <si>
    <t>*整机光功率自动检测设备（复制）</t>
    <phoneticPr fontId="1" type="noConversion"/>
  </si>
  <si>
    <t>*高低温交变试验房</t>
    <phoneticPr fontId="1" type="noConversion"/>
  </si>
  <si>
    <t>HD-3215-271</t>
    <phoneticPr fontId="1" type="noConversion"/>
  </si>
  <si>
    <t>A4030机芯底座自动点胶工装</t>
    <phoneticPr fontId="1" type="noConversion"/>
  </si>
  <si>
    <t>A4053机芯底座自动点胶工装</t>
    <phoneticPr fontId="1" type="noConversion"/>
  </si>
  <si>
    <t>董鑫</t>
    <phoneticPr fontId="1" type="noConversion"/>
  </si>
  <si>
    <t>A4053驱动板及转接座自动点胶</t>
    <phoneticPr fontId="1" type="noConversion"/>
  </si>
  <si>
    <t>董鑫</t>
    <phoneticPr fontId="1" type="noConversion"/>
  </si>
  <si>
    <t>*Leica三控环装配流水固化设备</t>
    <phoneticPr fontId="1" type="noConversion"/>
  </si>
  <si>
    <t>*A4063齿轮箱输出扭力测试设备</t>
    <phoneticPr fontId="1" type="noConversion"/>
  </si>
  <si>
    <t>*A3028支架磁钢板安装工装</t>
    <phoneticPr fontId="1" type="noConversion"/>
  </si>
  <si>
    <t>*A4030L型支架点胶工装</t>
    <phoneticPr fontId="1" type="noConversion"/>
  </si>
  <si>
    <t>*A4030支架磁钢板安装工装</t>
    <phoneticPr fontId="1" type="noConversion"/>
  </si>
  <si>
    <t>*扫平仪坡度实测设备</t>
    <phoneticPr fontId="1" type="noConversion"/>
  </si>
  <si>
    <t>HDGC2024034</t>
  </si>
  <si>
    <t>HDGC2024035</t>
  </si>
  <si>
    <t>HDGC2024036</t>
  </si>
  <si>
    <t>HDGC2024037</t>
  </si>
  <si>
    <t>*铜丝触点自动焊接设备</t>
    <phoneticPr fontId="1" type="noConversion"/>
  </si>
  <si>
    <t>*整机扭力测试自动记录系统</t>
    <phoneticPr fontId="1" type="noConversion"/>
  </si>
  <si>
    <t>*微动开关自动焊接设备</t>
    <phoneticPr fontId="1" type="noConversion"/>
  </si>
  <si>
    <t>*A4053测试反向空回设备</t>
    <phoneticPr fontId="1" type="noConversion"/>
  </si>
  <si>
    <t>*Hilti内环UV固化设备</t>
    <phoneticPr fontId="1" type="noConversion"/>
  </si>
  <si>
    <t>HD-3215-318</t>
    <phoneticPr fontId="1" type="noConversion"/>
  </si>
  <si>
    <t>*非球自动装配设备</t>
    <phoneticPr fontId="1" type="noConversion"/>
  </si>
  <si>
    <t>*双工位微变量校准设备</t>
    <phoneticPr fontId="1" type="noConversion"/>
  </si>
  <si>
    <t>HD-2304-096</t>
    <phoneticPr fontId="1" type="noConversion"/>
  </si>
  <si>
    <t>HDGC2024038</t>
  </si>
  <si>
    <t>HDGC2024040</t>
  </si>
  <si>
    <t>HDGC2024041</t>
  </si>
  <si>
    <t>HDGC2024042</t>
  </si>
  <si>
    <t>HDGC2024043</t>
  </si>
  <si>
    <t>HDGC2024044</t>
    <phoneticPr fontId="1" type="noConversion"/>
  </si>
  <si>
    <t>HD-2304-076</t>
    <phoneticPr fontId="1" type="noConversion"/>
  </si>
  <si>
    <t>感应范围测试设备</t>
    <phoneticPr fontId="1" type="noConversion"/>
  </si>
  <si>
    <t>HDGC2023006</t>
    <phoneticPr fontId="1" type="noConversion"/>
  </si>
  <si>
    <t>HDGC2024033</t>
    <phoneticPr fontId="1" type="noConversion"/>
  </si>
  <si>
    <t>HDGC2024039</t>
    <phoneticPr fontId="1" type="noConversion"/>
  </si>
  <si>
    <t>*A3039打磁钢工装</t>
    <phoneticPr fontId="1" type="noConversion"/>
  </si>
  <si>
    <t>A4065打磁钢工装</t>
    <phoneticPr fontId="1" type="noConversion"/>
  </si>
  <si>
    <t>A4065微调底座自动打螺丝工装</t>
    <phoneticPr fontId="1" type="noConversion"/>
  </si>
  <si>
    <t>线序检测工装</t>
    <phoneticPr fontId="1" type="noConversion"/>
  </si>
  <si>
    <t>PM50A整机测空回项目（软件）</t>
    <phoneticPr fontId="1" type="noConversion"/>
  </si>
  <si>
    <t>A4066微调底座打螺丝工装</t>
    <phoneticPr fontId="1" type="noConversion"/>
  </si>
  <si>
    <t>A4065微动开关焊接设备</t>
    <phoneticPr fontId="1" type="noConversion"/>
  </si>
  <si>
    <t>HDGC2024045</t>
    <phoneticPr fontId="1" type="noConversion"/>
  </si>
  <si>
    <t>HDGC2024046</t>
  </si>
  <si>
    <t>A4066齿轮箱涂油工装</t>
  </si>
  <si>
    <t>HDGC2024047</t>
  </si>
  <si>
    <t>A4066齿条涂油工装</t>
  </si>
  <si>
    <t>HDGC2024048</t>
  </si>
  <si>
    <t>A4066内齿圈压入工装</t>
  </si>
  <si>
    <t>HDGC2024049</t>
  </si>
  <si>
    <t>A4066轮系跑合工装</t>
  </si>
  <si>
    <t>HDGC2024050</t>
  </si>
  <si>
    <t>A4066太阳轮压装工装</t>
    <phoneticPr fontId="1" type="noConversion"/>
  </si>
  <si>
    <t>A4065 L型支架点胶工装</t>
    <phoneticPr fontId="1" type="noConversion"/>
  </si>
  <si>
    <t>A4065 支架磁钢板安装工装</t>
    <phoneticPr fontId="1" type="noConversion"/>
  </si>
  <si>
    <t>摆体支架螺纹胶快速固化设备（复制）</t>
    <phoneticPr fontId="1" type="noConversion"/>
  </si>
  <si>
    <t>HD-2302-131</t>
    <phoneticPr fontId="1" type="noConversion"/>
  </si>
  <si>
    <t>HD-3106-223</t>
    <phoneticPr fontId="1" type="noConversion"/>
  </si>
  <si>
    <t>HD-3106-222</t>
    <phoneticPr fontId="1" type="noConversion"/>
  </si>
  <si>
    <t>HD-3106-224</t>
    <phoneticPr fontId="1" type="noConversion"/>
  </si>
  <si>
    <t>HD-3106-002</t>
    <phoneticPr fontId="1" type="noConversion"/>
  </si>
  <si>
    <t>HD-3106-004</t>
    <phoneticPr fontId="1" type="noConversion"/>
  </si>
  <si>
    <t>HD-3106-005</t>
    <phoneticPr fontId="1" type="noConversion"/>
  </si>
  <si>
    <t>HD-3106-006</t>
    <phoneticPr fontId="1" type="noConversion"/>
  </si>
  <si>
    <t>HD-3106-007</t>
    <phoneticPr fontId="1" type="noConversion"/>
  </si>
  <si>
    <t>ProjectsId</t>
    <phoneticPr fontId="1" type="noConversion"/>
  </si>
  <si>
    <t>Year</t>
    <phoneticPr fontId="1" type="noConversion"/>
  </si>
  <si>
    <t>ProcurementMonth</t>
    <phoneticPr fontId="1" type="noConversion"/>
  </si>
  <si>
    <t>ProjectName</t>
    <phoneticPr fontId="1" type="noConversion"/>
  </si>
  <si>
    <t>ProjectIdentifyingNumber</t>
    <phoneticPr fontId="1" type="noConversion"/>
  </si>
  <si>
    <t>新增</t>
    <phoneticPr fontId="1" type="noConversion"/>
  </si>
  <si>
    <t>equipmenttype</t>
    <phoneticPr fontId="1" type="noConversion"/>
  </si>
  <si>
    <t>type</t>
    <phoneticPr fontId="1" type="noConversion"/>
  </si>
  <si>
    <t>ProjectStage</t>
  </si>
  <si>
    <t>FinishTime</t>
  </si>
  <si>
    <t>Budget</t>
    <phoneticPr fontId="1" type="noConversion"/>
  </si>
  <si>
    <t>ActualExpenditure</t>
  </si>
  <si>
    <t>ProjectPhaseStatus</t>
  </si>
  <si>
    <t>ProjectLeader</t>
  </si>
  <si>
    <t>AssetNumber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</si>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</sst>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76" formatCode="_ * #,##0_ ;_ * \-#,##0_ ;_ * &quot;-&quot;??_ ;_ @_ "/>
  </numFmts>
  <fonts count="11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1"/>
      <color theme="1"/>
      <name val="宋体"/>
      <family val="2"/>
      <scheme val="minor"/>
    </font>
    <font>
      <b/>
      <sz val="26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</borders>
  <cellStyleXfs count="2">
    <xf numFmtId="0" fontId="0" fillId="0" borderId="0"/>
    <xf numFmtId="43" fontId="7" fillId="0" borderId="0" applyFont="0" applyFill="0" applyBorder="0" applyAlignment="0" applyProtection="0">
      <alignment vertical="center"/>
    </xf>
  </cellStyleXfs>
  <cellXfs count="7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shrinkToFi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/>
    <xf numFmtId="0" fontId="4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wrapText="1"/>
    </xf>
    <xf numFmtId="0" fontId="0" fillId="0" borderId="3" xfId="0" applyBorder="1"/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8" xfId="0" applyBorder="1" applyAlignment="1">
      <alignment vertical="center"/>
    </xf>
    <xf numFmtId="0" fontId="3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/>
    </xf>
    <xf numFmtId="0" fontId="2" fillId="0" borderId="12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14" fontId="0" fillId="0" borderId="9" xfId="0" applyNumberFormat="1" applyBorder="1" applyAlignment="1">
      <alignment horizontal="center" vertical="center"/>
    </xf>
    <xf numFmtId="176" fontId="0" fillId="0" borderId="0" xfId="1" applyNumberFormat="1" applyFont="1" applyAlignment="1">
      <alignment horizontal="center" vertical="center"/>
    </xf>
    <xf numFmtId="176" fontId="2" fillId="0" borderId="6" xfId="1" applyNumberFormat="1" applyFont="1" applyBorder="1" applyAlignment="1">
      <alignment vertical="center"/>
    </xf>
    <xf numFmtId="176" fontId="3" fillId="0" borderId="1" xfId="1" applyNumberFormat="1" applyFont="1" applyFill="1" applyBorder="1" applyAlignment="1">
      <alignment horizontal="center" vertical="center"/>
    </xf>
    <xf numFmtId="176" fontId="0" fillId="0" borderId="1" xfId="1" applyNumberFormat="1" applyFont="1" applyBorder="1" applyAlignment="1">
      <alignment horizontal="center" vertical="center"/>
    </xf>
    <xf numFmtId="176" fontId="0" fillId="0" borderId="4" xfId="1" applyNumberFormat="1" applyFont="1" applyBorder="1" applyAlignment="1">
      <alignment horizontal="center" vertical="center"/>
    </xf>
    <xf numFmtId="176" fontId="3" fillId="0" borderId="1" xfId="1" applyNumberFormat="1" applyFont="1" applyBorder="1" applyAlignment="1">
      <alignment horizontal="center" vertical="center"/>
    </xf>
    <xf numFmtId="176" fontId="3" fillId="0" borderId="4" xfId="1" applyNumberFormat="1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76" fontId="0" fillId="0" borderId="13" xfId="1" applyNumberFormat="1" applyFont="1" applyBorder="1" applyAlignment="1">
      <alignment horizontal="center" vertical="center"/>
    </xf>
    <xf numFmtId="176" fontId="3" fillId="0" borderId="13" xfId="1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0" fillId="0" borderId="0" xfId="0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3" fillId="0" borderId="9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76" fontId="0" fillId="0" borderId="8" xfId="1" applyNumberFormat="1" applyFont="1" applyBorder="1" applyAlignment="1">
      <alignment horizontal="center" vertical="center"/>
    </xf>
    <xf numFmtId="176" fontId="3" fillId="0" borderId="8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9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10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176" fontId="0" fillId="0" borderId="0" xfId="1" applyNumberFormat="1" applyFont="1" applyAlignment="1">
      <alignment vertical="center"/>
    </xf>
    <xf numFmtId="0" fontId="0" fillId="0" borderId="19" xfId="0" applyBorder="1" applyAlignment="1">
      <alignment vertical="center"/>
    </xf>
    <xf numFmtId="0" fontId="0" fillId="0" borderId="5" xfId="0" applyBorder="1" applyAlignment="1">
      <alignment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0" fillId="0" borderId="8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2">
    <cellStyle name="常规" xfId="0" builtinId="0"/>
    <cellStyle name="千位分隔" xfId="1" builtinId="3"/>
  </cellStyles>
  <dxfs count="23"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275164</xdr:colOff>
      <xdr:row>1</xdr:row>
      <xdr:rowOff>19048</xdr:rowOff>
    </xdr:from>
    <xdr:to>
      <xdr:col>3</xdr:col>
      <xdr:colOff>243417</xdr:colOff>
      <xdr:row>1</xdr:row>
      <xdr:rowOff>835192</xdr:rowOff>
    </xdr:to>
    <xdr:pic>
      <xdr:nvPicPr>
        <xdr:cNvPr id="2" name="Picture 8" descr="HDOEI 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13831" y="198965"/>
          <a:ext cx="1756836" cy="8161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Y122"/>
  <sheetViews>
    <sheetView showGridLines="0" tabSelected="1" zoomScale="90" zoomScaleNormal="90" workbookViewId="0">
      <pane ySplit="4" topLeftCell="A69" activePane="bottomLeft" state="frozen"/>
      <selection pane="bottomLeft" activeCell="D53" sqref="D53"/>
    </sheetView>
  </sheetViews>
  <sheetFormatPr defaultRowHeight="20.100000000000001" customHeight="1" x14ac:dyDescent="0.15"/>
  <cols>
    <col min="1" max="1" width="4.5" style="6" customWidth="1"/>
    <col min="2" max="2" width="6.75" style="1" customWidth="1"/>
    <col min="3" max="3" width="13.25" style="65" customWidth="1"/>
    <col min="4" max="4" width="24.625" style="1" customWidth="1"/>
    <col min="5" max="5" width="39.125" style="47" customWidth="1"/>
    <col min="6" max="6" width="13.375" style="6" customWidth="1"/>
    <col min="7" max="7" width="9.125" style="1" customWidth="1"/>
    <col min="8" max="8" width="7.625" style="1" customWidth="1"/>
    <col min="9" max="9" width="9" style="65" customWidth="1"/>
    <col min="10" max="10" width="9" style="1" customWidth="1"/>
    <col min="11" max="11" width="11.75" style="31" customWidth="1"/>
    <col min="12" max="12" width="12.5" style="66" customWidth="1"/>
    <col min="13" max="13" width="8" style="1" customWidth="1"/>
    <col min="14" max="14" width="7.625" style="1" customWidth="1"/>
    <col min="15" max="15" width="13.875" style="1" customWidth="1"/>
    <col min="16" max="17" width="15.625" style="6" customWidth="1"/>
    <col min="18" max="16384" width="9" style="6"/>
  </cols>
  <sheetData>
    <row r="1" spans="2:17" ht="20.100000000000001" customHeight="1" thickBot="1" x14ac:dyDescent="0.2"/>
    <row r="2" spans="2:17" s="2" customFormat="1" ht="39.75" customHeight="1" thickTop="1" x14ac:dyDescent="0.15">
      <c r="B2" s="28"/>
      <c r="C2" s="48"/>
      <c r="D2" s="29"/>
      <c r="E2" s="48"/>
      <c r="F2" s="29"/>
      <c r="G2" s="51" t="s">
        <v>68</v>
      </c>
      <c r="H2" s="29"/>
      <c r="I2" s="48"/>
      <c r="J2" s="29"/>
      <c r="K2" s="32"/>
      <c r="L2" s="32"/>
      <c r="M2" s="29"/>
      <c r="N2" s="29"/>
      <c r="O2" s="69"/>
      <c r="P2" s="70"/>
      <c r="Q2" s="10"/>
    </row>
    <row r="3" spans="2:17" s="8" customFormat="1" ht="37.5" customHeight="1" x14ac:dyDescent="0.15">
      <c r="B3" s="13" t="s">
        <v>266</v>
      </c>
      <c r="C3" s="49" t="s">
        <v>267</v>
      </c>
      <c r="D3" s="22" t="s">
        <v>268</v>
      </c>
      <c r="E3" s="9" t="s">
        <v>269</v>
      </c>
      <c r="F3" s="5" t="s">
        <v>270</v>
      </c>
      <c r="G3" s="5" t="s">
        <v>272</v>
      </c>
      <c r="H3" s="5" t="s">
        <v>273</v>
      </c>
      <c r="I3" s="9" t="s">
        <v>274</v>
      </c>
      <c r="J3" s="9" t="s">
        <v>275</v>
      </c>
      <c r="K3" s="33" t="s">
        <v>276</v>
      </c>
      <c r="L3" s="33" t="s">
        <v>277</v>
      </c>
      <c r="M3" s="27" t="s">
        <v>278</v>
      </c>
      <c r="N3" s="9" t="s">
        <v>279</v>
      </c>
      <c r="O3" s="9" t="s">
        <v>280</v>
      </c>
      <c r="P3" s="14" t="s">
        <v>281</v>
      </c>
      <c r="Q3" s="11"/>
    </row>
    <row r="4" spans="2:17" s="8" customFormat="1" ht="20.100000000000001" customHeight="1" x14ac:dyDescent="0.15">
      <c r="B4" s="13"/>
      <c r="C4" s="22"/>
      <c r="D4" s="22"/>
      <c r="E4" s="5"/>
      <c r="F4" s="5"/>
      <c r="G4" s="5" t="s">
        <v>133</v>
      </c>
      <c r="H4" s="5"/>
      <c r="I4" s="5"/>
      <c r="J4" s="5"/>
      <c r="K4" s="33"/>
      <c r="L4" s="33"/>
      <c r="M4" s="5"/>
      <c r="N4" s="9"/>
      <c r="O4" s="9"/>
      <c r="P4" s="14"/>
      <c r="Q4" s="11"/>
    </row>
    <row r="5" spans="2:17" ht="20.100000000000001" customHeight="1" x14ac:dyDescent="0.15">
      <c r="B5" s="15">
        <f>ROW()-4</f>
        <v>1</v>
      </c>
      <c r="C5" s="23">
        <v>2022</v>
      </c>
      <c r="D5" s="23"/>
      <c r="E5" s="3" t="s">
        <v>52</v>
      </c>
      <c r="F5" s="3" t="s">
        <v>2</v>
      </c>
      <c r="G5" s="4"/>
      <c r="H5" s="4" t="s">
        <v>26</v>
      </c>
      <c r="I5" s="4" t="s">
        <v>1</v>
      </c>
      <c r="J5" s="4"/>
      <c r="K5" s="34">
        <v>25000</v>
      </c>
      <c r="L5" s="36">
        <v>25000</v>
      </c>
      <c r="M5" s="4" t="s">
        <v>34</v>
      </c>
      <c r="N5" s="5" t="s">
        <v>21</v>
      </c>
      <c r="O5" s="3" t="s">
        <v>32</v>
      </c>
      <c r="P5" s="16"/>
    </row>
    <row r="6" spans="2:17" ht="20.100000000000001" customHeight="1" x14ac:dyDescent="0.15">
      <c r="B6" s="15">
        <f t="shared" ref="B6:B89" si="0">ROW()-4</f>
        <v>2</v>
      </c>
      <c r="C6" s="23">
        <v>2022</v>
      </c>
      <c r="D6" s="23"/>
      <c r="E6" s="3" t="s">
        <v>31</v>
      </c>
      <c r="F6" s="3" t="s">
        <v>3</v>
      </c>
      <c r="G6" s="4"/>
      <c r="H6" s="4" t="s">
        <v>26</v>
      </c>
      <c r="I6" s="4" t="s">
        <v>1</v>
      </c>
      <c r="J6" s="4"/>
      <c r="K6" s="34">
        <v>250000</v>
      </c>
      <c r="L6" s="36">
        <v>250000</v>
      </c>
      <c r="M6" s="4" t="s">
        <v>34</v>
      </c>
      <c r="N6" s="5" t="s">
        <v>22</v>
      </c>
      <c r="O6" s="26" t="s">
        <v>191</v>
      </c>
      <c r="P6" s="16"/>
    </row>
    <row r="7" spans="2:17" ht="20.100000000000001" customHeight="1" x14ac:dyDescent="0.15">
      <c r="B7" s="15">
        <f t="shared" si="0"/>
        <v>3</v>
      </c>
      <c r="C7" s="23">
        <v>2022</v>
      </c>
      <c r="D7" s="23"/>
      <c r="E7" s="3" t="s">
        <v>4</v>
      </c>
      <c r="F7" s="3" t="s">
        <v>5</v>
      </c>
      <c r="G7" s="4"/>
      <c r="H7" s="4" t="s">
        <v>26</v>
      </c>
      <c r="I7" s="4" t="s">
        <v>1</v>
      </c>
      <c r="J7" s="4"/>
      <c r="K7" s="34">
        <v>180000</v>
      </c>
      <c r="L7" s="36">
        <v>170000</v>
      </c>
      <c r="M7" s="4" t="s">
        <v>34</v>
      </c>
      <c r="N7" s="5" t="s">
        <v>22</v>
      </c>
      <c r="O7" s="3" t="s">
        <v>200</v>
      </c>
      <c r="P7" s="16"/>
    </row>
    <row r="8" spans="2:17" ht="20.100000000000001" customHeight="1" x14ac:dyDescent="0.15">
      <c r="B8" s="15">
        <f t="shared" si="0"/>
        <v>4</v>
      </c>
      <c r="C8" s="50" t="s">
        <v>66</v>
      </c>
      <c r="D8" s="23">
        <v>1</v>
      </c>
      <c r="E8" s="3" t="s">
        <v>166</v>
      </c>
      <c r="F8" s="3" t="s">
        <v>6</v>
      </c>
      <c r="G8" s="4" t="s">
        <v>130</v>
      </c>
      <c r="H8" s="4" t="s">
        <v>26</v>
      </c>
      <c r="I8" s="53" t="s">
        <v>60</v>
      </c>
      <c r="J8" s="4"/>
      <c r="K8" s="34">
        <v>220000</v>
      </c>
      <c r="L8" s="36">
        <v>203000</v>
      </c>
      <c r="M8" s="4" t="s">
        <v>58</v>
      </c>
      <c r="N8" s="5" t="s">
        <v>22</v>
      </c>
      <c r="O8" s="3" t="s">
        <v>183</v>
      </c>
      <c r="P8" s="16"/>
    </row>
    <row r="9" spans="2:17" ht="20.100000000000001" customHeight="1" x14ac:dyDescent="0.15">
      <c r="B9" s="15">
        <f t="shared" si="0"/>
        <v>5</v>
      </c>
      <c r="C9" s="23">
        <v>2022</v>
      </c>
      <c r="D9" s="23"/>
      <c r="E9" s="3" t="s">
        <v>43</v>
      </c>
      <c r="F9" s="3" t="s">
        <v>7</v>
      </c>
      <c r="G9" s="4"/>
      <c r="H9" s="4" t="s">
        <v>26</v>
      </c>
      <c r="I9" s="4" t="s">
        <v>1</v>
      </c>
      <c r="J9" s="4"/>
      <c r="K9" s="34">
        <v>103700</v>
      </c>
      <c r="L9" s="36">
        <v>103700</v>
      </c>
      <c r="M9" s="4" t="s">
        <v>34</v>
      </c>
      <c r="N9" s="5" t="s">
        <v>22</v>
      </c>
      <c r="O9" s="3" t="s">
        <v>23</v>
      </c>
      <c r="P9" s="16"/>
    </row>
    <row r="10" spans="2:17" ht="20.100000000000001" customHeight="1" x14ac:dyDescent="0.15">
      <c r="B10" s="15">
        <f t="shared" si="0"/>
        <v>6</v>
      </c>
      <c r="C10" s="23">
        <v>2022</v>
      </c>
      <c r="D10" s="23"/>
      <c r="E10" s="3" t="s">
        <v>8</v>
      </c>
      <c r="F10" s="3" t="s">
        <v>9</v>
      </c>
      <c r="G10" s="4"/>
      <c r="H10" s="4" t="s">
        <v>26</v>
      </c>
      <c r="I10" s="4" t="s">
        <v>1</v>
      </c>
      <c r="J10" s="4"/>
      <c r="K10" s="34">
        <v>20000</v>
      </c>
      <c r="L10" s="36">
        <v>17407.21</v>
      </c>
      <c r="M10" s="4" t="s">
        <v>34</v>
      </c>
      <c r="N10" s="5" t="s">
        <v>22</v>
      </c>
      <c r="O10" s="3" t="s">
        <v>63</v>
      </c>
      <c r="P10" s="16"/>
    </row>
    <row r="11" spans="2:17" ht="20.100000000000001" customHeight="1" x14ac:dyDescent="0.15">
      <c r="B11" s="15">
        <f t="shared" si="0"/>
        <v>7</v>
      </c>
      <c r="C11" s="23">
        <v>2022</v>
      </c>
      <c r="D11" s="23"/>
      <c r="E11" s="3" t="s">
        <v>33</v>
      </c>
      <c r="F11" s="3" t="s">
        <v>10</v>
      </c>
      <c r="G11" s="4"/>
      <c r="H11" s="4" t="s">
        <v>271</v>
      </c>
      <c r="I11" s="5" t="s">
        <v>1</v>
      </c>
      <c r="J11" s="5"/>
      <c r="K11" s="34">
        <v>75000</v>
      </c>
      <c r="L11" s="36">
        <v>74300</v>
      </c>
      <c r="M11" s="4" t="s">
        <v>34</v>
      </c>
      <c r="N11" s="5" t="s">
        <v>21</v>
      </c>
      <c r="O11" s="3" t="s">
        <v>24</v>
      </c>
      <c r="P11" s="16"/>
    </row>
    <row r="12" spans="2:17" ht="20.100000000000001" customHeight="1" x14ac:dyDescent="0.15">
      <c r="B12" s="15">
        <f t="shared" si="0"/>
        <v>8</v>
      </c>
      <c r="C12" s="23">
        <v>2022</v>
      </c>
      <c r="D12" s="23"/>
      <c r="E12" s="3" t="s">
        <v>85</v>
      </c>
      <c r="F12" s="3" t="s">
        <v>11</v>
      </c>
      <c r="G12" s="4"/>
      <c r="H12" s="4" t="s">
        <v>28</v>
      </c>
      <c r="I12" s="4" t="s">
        <v>1</v>
      </c>
      <c r="J12" s="4"/>
      <c r="K12" s="34">
        <v>15000</v>
      </c>
      <c r="L12" s="36">
        <v>15000</v>
      </c>
      <c r="M12" s="4" t="s">
        <v>34</v>
      </c>
      <c r="N12" s="5" t="s">
        <v>21</v>
      </c>
      <c r="O12" s="3" t="s">
        <v>87</v>
      </c>
      <c r="P12" s="16"/>
    </row>
    <row r="13" spans="2:17" ht="20.100000000000001" customHeight="1" x14ac:dyDescent="0.15">
      <c r="B13" s="15">
        <f t="shared" si="0"/>
        <v>9</v>
      </c>
      <c r="C13" s="23">
        <v>2022</v>
      </c>
      <c r="D13" s="23"/>
      <c r="E13" s="3" t="s">
        <v>38</v>
      </c>
      <c r="F13" s="3" t="s">
        <v>12</v>
      </c>
      <c r="G13" s="4"/>
      <c r="H13" s="4" t="s">
        <v>26</v>
      </c>
      <c r="I13" s="4" t="s">
        <v>1</v>
      </c>
      <c r="J13" s="4"/>
      <c r="K13" s="34">
        <v>26500</v>
      </c>
      <c r="L13" s="36">
        <v>26000</v>
      </c>
      <c r="M13" s="4" t="s">
        <v>34</v>
      </c>
      <c r="N13" s="5" t="s">
        <v>21</v>
      </c>
      <c r="O13" s="3" t="s">
        <v>25</v>
      </c>
      <c r="P13" s="16"/>
    </row>
    <row r="14" spans="2:17" ht="20.100000000000001" customHeight="1" x14ac:dyDescent="0.15">
      <c r="B14" s="15">
        <f t="shared" si="0"/>
        <v>10</v>
      </c>
      <c r="C14" s="30" t="s">
        <v>66</v>
      </c>
      <c r="D14" s="23">
        <v>1</v>
      </c>
      <c r="E14" s="3" t="s">
        <v>13</v>
      </c>
      <c r="F14" s="3" t="s">
        <v>14</v>
      </c>
      <c r="G14" s="4"/>
      <c r="H14" s="4" t="s">
        <v>26</v>
      </c>
      <c r="I14" s="4" t="s">
        <v>1</v>
      </c>
      <c r="J14" s="4"/>
      <c r="K14" s="34">
        <v>430000</v>
      </c>
      <c r="L14" s="36">
        <v>420000</v>
      </c>
      <c r="M14" s="4" t="s">
        <v>34</v>
      </c>
      <c r="N14" s="5" t="s">
        <v>21</v>
      </c>
      <c r="O14" s="3" t="s">
        <v>99</v>
      </c>
      <c r="P14" s="16"/>
    </row>
    <row r="15" spans="2:17" ht="20.100000000000001" customHeight="1" x14ac:dyDescent="0.15">
      <c r="B15" s="15">
        <f t="shared" si="0"/>
        <v>11</v>
      </c>
      <c r="C15" s="23">
        <v>2022</v>
      </c>
      <c r="D15" s="23">
        <v>1</v>
      </c>
      <c r="E15" s="3" t="s">
        <v>53</v>
      </c>
      <c r="F15" s="3" t="s">
        <v>15</v>
      </c>
      <c r="G15" s="4"/>
      <c r="H15" s="4" t="s">
        <v>26</v>
      </c>
      <c r="I15" s="4" t="s">
        <v>1</v>
      </c>
      <c r="J15" s="4"/>
      <c r="K15" s="34">
        <v>380000</v>
      </c>
      <c r="L15" s="36">
        <v>430000</v>
      </c>
      <c r="M15" s="4" t="s">
        <v>34</v>
      </c>
      <c r="N15" s="5" t="s">
        <v>21</v>
      </c>
      <c r="O15" s="3" t="s">
        <v>88</v>
      </c>
      <c r="P15" s="16"/>
    </row>
    <row r="16" spans="2:17" ht="20.100000000000001" customHeight="1" x14ac:dyDescent="0.15">
      <c r="B16" s="15">
        <f t="shared" si="0"/>
        <v>12</v>
      </c>
      <c r="C16" s="23">
        <v>2022</v>
      </c>
      <c r="D16" s="23"/>
      <c r="E16" s="3" t="s">
        <v>55</v>
      </c>
      <c r="F16" s="3" t="s">
        <v>16</v>
      </c>
      <c r="G16" s="4"/>
      <c r="H16" s="4" t="s">
        <v>26</v>
      </c>
      <c r="I16" s="4" t="s">
        <v>1</v>
      </c>
      <c r="J16" s="4"/>
      <c r="K16" s="34">
        <v>13000</v>
      </c>
      <c r="L16" s="36">
        <v>12000</v>
      </c>
      <c r="M16" s="4" t="s">
        <v>34</v>
      </c>
      <c r="N16" s="5" t="s">
        <v>21</v>
      </c>
      <c r="O16" s="3" t="s">
        <v>41</v>
      </c>
      <c r="P16" s="16"/>
    </row>
    <row r="17" spans="2:17" ht="20.100000000000001" customHeight="1" x14ac:dyDescent="0.15">
      <c r="B17" s="15">
        <f t="shared" si="0"/>
        <v>13</v>
      </c>
      <c r="C17" s="23">
        <v>2022</v>
      </c>
      <c r="D17" s="23"/>
      <c r="E17" s="3" t="s">
        <v>54</v>
      </c>
      <c r="F17" s="3" t="s">
        <v>17</v>
      </c>
      <c r="G17" s="4"/>
      <c r="H17" s="4" t="s">
        <v>26</v>
      </c>
      <c r="I17" s="4" t="s">
        <v>1</v>
      </c>
      <c r="J17" s="4"/>
      <c r="K17" s="34">
        <v>22000</v>
      </c>
      <c r="L17" s="36">
        <v>21000</v>
      </c>
      <c r="M17" s="4" t="s">
        <v>34</v>
      </c>
      <c r="N17" s="5" t="s">
        <v>21</v>
      </c>
      <c r="O17" s="3" t="s">
        <v>42</v>
      </c>
      <c r="P17" s="16"/>
    </row>
    <row r="18" spans="2:17" ht="20.100000000000001" customHeight="1" x14ac:dyDescent="0.15">
      <c r="B18" s="15">
        <f t="shared" si="0"/>
        <v>14</v>
      </c>
      <c r="C18" s="23">
        <v>2022</v>
      </c>
      <c r="D18" s="23"/>
      <c r="E18" s="3" t="s">
        <v>93</v>
      </c>
      <c r="F18" s="3" t="s">
        <v>18</v>
      </c>
      <c r="G18" s="4"/>
      <c r="H18" s="4" t="s">
        <v>26</v>
      </c>
      <c r="I18" s="4" t="s">
        <v>1</v>
      </c>
      <c r="J18" s="4"/>
      <c r="K18" s="34">
        <v>22000</v>
      </c>
      <c r="L18" s="36">
        <v>21000</v>
      </c>
      <c r="M18" s="4" t="s">
        <v>34</v>
      </c>
      <c r="N18" s="5" t="s">
        <v>21</v>
      </c>
      <c r="O18" s="3" t="s">
        <v>91</v>
      </c>
      <c r="P18" s="16"/>
    </row>
    <row r="19" spans="2:17" ht="20.100000000000001" customHeight="1" x14ac:dyDescent="0.15">
      <c r="B19" s="15">
        <f t="shared" si="0"/>
        <v>15</v>
      </c>
      <c r="C19" s="23">
        <v>2022</v>
      </c>
      <c r="D19" s="23"/>
      <c r="E19" s="3" t="s">
        <v>29</v>
      </c>
      <c r="F19" s="3" t="s">
        <v>19</v>
      </c>
      <c r="G19" s="4"/>
      <c r="H19" s="4" t="s">
        <v>26</v>
      </c>
      <c r="I19" s="4" t="s">
        <v>1</v>
      </c>
      <c r="J19" s="4"/>
      <c r="K19" s="34">
        <v>13000</v>
      </c>
      <c r="L19" s="36">
        <v>12000</v>
      </c>
      <c r="M19" s="4" t="s">
        <v>34</v>
      </c>
      <c r="N19" s="5" t="s">
        <v>21</v>
      </c>
      <c r="O19" s="3" t="s">
        <v>39</v>
      </c>
      <c r="P19" s="16"/>
    </row>
    <row r="20" spans="2:17" ht="20.100000000000001" customHeight="1" x14ac:dyDescent="0.15">
      <c r="B20" s="15">
        <f t="shared" si="0"/>
        <v>16</v>
      </c>
      <c r="C20" s="23">
        <v>2022</v>
      </c>
      <c r="D20" s="23"/>
      <c r="E20" s="3" t="s">
        <v>30</v>
      </c>
      <c r="F20" s="3" t="s">
        <v>20</v>
      </c>
      <c r="G20" s="4"/>
      <c r="H20" s="4" t="s">
        <v>26</v>
      </c>
      <c r="I20" s="4" t="s">
        <v>1</v>
      </c>
      <c r="J20" s="4"/>
      <c r="K20" s="34">
        <v>16500</v>
      </c>
      <c r="L20" s="36">
        <v>15500</v>
      </c>
      <c r="M20" s="4" t="s">
        <v>34</v>
      </c>
      <c r="N20" s="5" t="s">
        <v>21</v>
      </c>
      <c r="O20" s="26" t="s">
        <v>40</v>
      </c>
      <c r="P20" s="16"/>
    </row>
    <row r="21" spans="2:17" ht="20.100000000000001" customHeight="1" x14ac:dyDescent="0.15">
      <c r="B21" s="15">
        <f t="shared" si="0"/>
        <v>17</v>
      </c>
      <c r="C21" s="23">
        <v>2022</v>
      </c>
      <c r="D21" s="44"/>
      <c r="E21" s="3" t="s">
        <v>35</v>
      </c>
      <c r="F21" s="25" t="s">
        <v>44</v>
      </c>
      <c r="G21" s="54"/>
      <c r="H21" s="38" t="s">
        <v>26</v>
      </c>
      <c r="I21" s="38" t="s">
        <v>36</v>
      </c>
      <c r="J21" s="38"/>
      <c r="K21" s="39">
        <v>120000</v>
      </c>
      <c r="L21" s="40"/>
      <c r="M21" s="38" t="s">
        <v>51</v>
      </c>
      <c r="N21" s="41" t="s">
        <v>21</v>
      </c>
      <c r="O21" s="42"/>
      <c r="P21" s="43"/>
    </row>
    <row r="22" spans="2:17" customFormat="1" ht="20.100000000000001" customHeight="1" x14ac:dyDescent="0.15">
      <c r="B22" s="15">
        <f t="shared" si="0"/>
        <v>18</v>
      </c>
      <c r="C22" s="23">
        <v>2022</v>
      </c>
      <c r="D22" s="23">
        <v>1</v>
      </c>
      <c r="E22" s="3" t="s">
        <v>56</v>
      </c>
      <c r="F22" s="21" t="s">
        <v>45</v>
      </c>
      <c r="G22" s="52"/>
      <c r="H22" s="4" t="s">
        <v>26</v>
      </c>
      <c r="I22" s="4" t="s">
        <v>1</v>
      </c>
      <c r="J22" s="4"/>
      <c r="K22" s="34">
        <v>16500</v>
      </c>
      <c r="L22" s="36">
        <v>16000</v>
      </c>
      <c r="M22" s="4" t="s">
        <v>34</v>
      </c>
      <c r="N22" s="5" t="s">
        <v>21</v>
      </c>
      <c r="O22" s="26" t="s">
        <v>92</v>
      </c>
      <c r="P22" s="17" t="s">
        <v>97</v>
      </c>
      <c r="Q22" s="12"/>
    </row>
    <row r="23" spans="2:17" customFormat="1" ht="20.100000000000001" customHeight="1" x14ac:dyDescent="0.15">
      <c r="B23" s="15">
        <f t="shared" si="0"/>
        <v>19</v>
      </c>
      <c r="C23" s="23">
        <v>2022</v>
      </c>
      <c r="D23" s="23"/>
      <c r="E23" s="3" t="s">
        <v>57</v>
      </c>
      <c r="F23" s="21" t="s">
        <v>46</v>
      </c>
      <c r="G23" s="52"/>
      <c r="H23" s="4" t="s">
        <v>26</v>
      </c>
      <c r="I23" s="4" t="s">
        <v>36</v>
      </c>
      <c r="J23" s="4"/>
      <c r="K23" s="34">
        <v>80000</v>
      </c>
      <c r="L23" s="36"/>
      <c r="M23" s="4" t="s">
        <v>51</v>
      </c>
      <c r="N23" s="4" t="s">
        <v>21</v>
      </c>
      <c r="O23" s="7"/>
      <c r="P23" s="18"/>
    </row>
    <row r="24" spans="2:17" ht="20.100000000000001" customHeight="1" x14ac:dyDescent="0.15">
      <c r="B24" s="15">
        <f t="shared" si="0"/>
        <v>20</v>
      </c>
      <c r="C24" s="23">
        <v>2022</v>
      </c>
      <c r="D24" s="23"/>
      <c r="E24" s="3" t="s">
        <v>85</v>
      </c>
      <c r="F24" s="21" t="s">
        <v>47</v>
      </c>
      <c r="G24" s="52"/>
      <c r="H24" s="4" t="s">
        <v>37</v>
      </c>
      <c r="I24" s="4" t="s">
        <v>1</v>
      </c>
      <c r="J24" s="4"/>
      <c r="K24" s="34">
        <v>130000</v>
      </c>
      <c r="L24" s="36">
        <v>123000</v>
      </c>
      <c r="M24" s="4" t="s">
        <v>34</v>
      </c>
      <c r="N24" s="4" t="s">
        <v>21</v>
      </c>
      <c r="O24" s="3" t="s">
        <v>59</v>
      </c>
      <c r="P24" s="16"/>
    </row>
    <row r="25" spans="2:17" customFormat="1" ht="20.100000000000001" customHeight="1" x14ac:dyDescent="0.15">
      <c r="B25" s="15">
        <f t="shared" si="0"/>
        <v>21</v>
      </c>
      <c r="C25" s="50">
        <v>2022</v>
      </c>
      <c r="D25" s="23">
        <v>1</v>
      </c>
      <c r="E25" s="3" t="s">
        <v>153</v>
      </c>
      <c r="F25" s="21" t="s">
        <v>48</v>
      </c>
      <c r="G25" s="52" t="s">
        <v>130</v>
      </c>
      <c r="H25" s="4" t="s">
        <v>37</v>
      </c>
      <c r="I25" s="53" t="s">
        <v>1</v>
      </c>
      <c r="J25" s="4">
        <v>2024.1</v>
      </c>
      <c r="K25" s="34">
        <v>175000</v>
      </c>
      <c r="L25" s="36">
        <v>170000</v>
      </c>
      <c r="M25" s="4" t="s">
        <v>34</v>
      </c>
      <c r="N25" s="5" t="s">
        <v>22</v>
      </c>
      <c r="O25" s="3"/>
      <c r="P25" s="18"/>
    </row>
    <row r="26" spans="2:17" customFormat="1" ht="20.100000000000001" customHeight="1" x14ac:dyDescent="0.15">
      <c r="B26" s="15">
        <f t="shared" si="0"/>
        <v>22</v>
      </c>
      <c r="C26" s="23">
        <v>2022</v>
      </c>
      <c r="D26" s="23">
        <v>2023.2</v>
      </c>
      <c r="E26" s="3" t="s">
        <v>94</v>
      </c>
      <c r="F26" s="21" t="s">
        <v>49</v>
      </c>
      <c r="G26" s="52"/>
      <c r="H26" s="4" t="s">
        <v>26</v>
      </c>
      <c r="I26" s="4" t="s">
        <v>1</v>
      </c>
      <c r="J26" s="4"/>
      <c r="K26" s="34">
        <v>300000</v>
      </c>
      <c r="L26" s="36">
        <v>239153</v>
      </c>
      <c r="M26" s="4" t="s">
        <v>34</v>
      </c>
      <c r="N26" s="5" t="s">
        <v>22</v>
      </c>
      <c r="O26" s="7"/>
      <c r="P26" s="18"/>
    </row>
    <row r="27" spans="2:17" ht="20.100000000000001" customHeight="1" x14ac:dyDescent="0.15">
      <c r="B27" s="15">
        <f t="shared" si="0"/>
        <v>23</v>
      </c>
      <c r="C27" s="50">
        <v>2024</v>
      </c>
      <c r="D27" s="23"/>
      <c r="E27" s="3" t="s">
        <v>154</v>
      </c>
      <c r="F27" s="21" t="s">
        <v>50</v>
      </c>
      <c r="G27" s="52" t="s">
        <v>130</v>
      </c>
      <c r="H27" s="4" t="s">
        <v>26</v>
      </c>
      <c r="I27" s="53" t="s">
        <v>135</v>
      </c>
      <c r="J27" s="4"/>
      <c r="K27" s="34">
        <v>2000000</v>
      </c>
      <c r="L27" s="36">
        <v>1720000</v>
      </c>
      <c r="M27" s="4" t="s">
        <v>58</v>
      </c>
      <c r="N27" s="5" t="s">
        <v>22</v>
      </c>
      <c r="O27" s="3"/>
      <c r="P27" s="16"/>
    </row>
    <row r="28" spans="2:17" customFormat="1" ht="20.100000000000001" customHeight="1" x14ac:dyDescent="0.15">
      <c r="B28" s="15">
        <f t="shared" si="0"/>
        <v>24</v>
      </c>
      <c r="C28" s="23">
        <v>2022</v>
      </c>
      <c r="D28" s="23">
        <v>2023.1</v>
      </c>
      <c r="E28" s="3" t="s">
        <v>61</v>
      </c>
      <c r="F28" s="21" t="s">
        <v>62</v>
      </c>
      <c r="G28" s="52"/>
      <c r="H28" s="4" t="s">
        <v>26</v>
      </c>
      <c r="I28" s="4" t="s">
        <v>60</v>
      </c>
      <c r="J28" s="4"/>
      <c r="K28" s="34">
        <v>90000</v>
      </c>
      <c r="L28" s="36">
        <v>71063</v>
      </c>
      <c r="M28" s="4" t="s">
        <v>51</v>
      </c>
      <c r="N28" s="5" t="s">
        <v>22</v>
      </c>
      <c r="O28" s="3" t="s">
        <v>86</v>
      </c>
      <c r="P28" s="18"/>
    </row>
    <row r="29" spans="2:17" customFormat="1" ht="20.100000000000001" customHeight="1" x14ac:dyDescent="0.15">
      <c r="B29" s="15">
        <f t="shared" si="0"/>
        <v>25</v>
      </c>
      <c r="C29" s="4">
        <v>2022</v>
      </c>
      <c r="D29" s="4"/>
      <c r="E29" s="3" t="s">
        <v>145</v>
      </c>
      <c r="F29" s="21" t="s">
        <v>64</v>
      </c>
      <c r="G29" s="52"/>
      <c r="H29" s="4" t="s">
        <v>26</v>
      </c>
      <c r="I29" s="4" t="s">
        <v>1</v>
      </c>
      <c r="J29" s="4"/>
      <c r="K29" s="34">
        <v>300000</v>
      </c>
      <c r="L29" s="36">
        <v>290000</v>
      </c>
      <c r="M29" s="4" t="s">
        <v>34</v>
      </c>
      <c r="N29" s="5" t="s">
        <v>75</v>
      </c>
      <c r="O29" s="3" t="s">
        <v>65</v>
      </c>
      <c r="P29" s="18"/>
    </row>
    <row r="30" spans="2:17" ht="20.100000000000001" customHeight="1" x14ac:dyDescent="0.15">
      <c r="B30" s="15">
        <f t="shared" si="0"/>
        <v>26</v>
      </c>
      <c r="C30" s="50">
        <v>2023</v>
      </c>
      <c r="D30" s="23">
        <v>2023.6</v>
      </c>
      <c r="E30" s="3" t="s">
        <v>206</v>
      </c>
      <c r="F30" s="3" t="s">
        <v>76</v>
      </c>
      <c r="G30" s="4" t="s">
        <v>130</v>
      </c>
      <c r="H30" s="4" t="s">
        <v>26</v>
      </c>
      <c r="I30" s="53" t="s">
        <v>98</v>
      </c>
      <c r="J30" s="4"/>
      <c r="K30" s="34">
        <v>160000</v>
      </c>
      <c r="L30" s="36">
        <v>152000</v>
      </c>
      <c r="M30" s="4" t="s">
        <v>58</v>
      </c>
      <c r="N30" s="5" t="s">
        <v>67</v>
      </c>
      <c r="O30" s="3"/>
      <c r="P30" s="16"/>
    </row>
    <row r="31" spans="2:17" customFormat="1" ht="20.100000000000001" customHeight="1" x14ac:dyDescent="0.15">
      <c r="B31" s="15">
        <f t="shared" si="0"/>
        <v>27</v>
      </c>
      <c r="C31" s="50">
        <v>2023</v>
      </c>
      <c r="D31" s="23">
        <v>2023.6</v>
      </c>
      <c r="E31" s="3" t="s">
        <v>148</v>
      </c>
      <c r="F31" s="3" t="s">
        <v>136</v>
      </c>
      <c r="G31" s="4" t="s">
        <v>130</v>
      </c>
      <c r="H31" s="4" t="s">
        <v>26</v>
      </c>
      <c r="I31" s="4" t="s">
        <v>1</v>
      </c>
      <c r="J31" s="4">
        <v>2024.3</v>
      </c>
      <c r="K31" s="34">
        <v>80000</v>
      </c>
      <c r="L31" s="36">
        <v>69000</v>
      </c>
      <c r="M31" s="4" t="s">
        <v>34</v>
      </c>
      <c r="N31" s="5" t="s">
        <v>21</v>
      </c>
      <c r="O31" s="3" t="s">
        <v>119</v>
      </c>
      <c r="P31" s="18"/>
    </row>
    <row r="32" spans="2:17" ht="20.100000000000001" customHeight="1" x14ac:dyDescent="0.15">
      <c r="B32" s="15">
        <f t="shared" si="0"/>
        <v>28</v>
      </c>
      <c r="C32" s="23">
        <v>2023</v>
      </c>
      <c r="D32" s="23">
        <v>2024.12</v>
      </c>
      <c r="E32" s="3" t="s">
        <v>222</v>
      </c>
      <c r="F32" s="21" t="s">
        <v>77</v>
      </c>
      <c r="G32" s="52" t="s">
        <v>130</v>
      </c>
      <c r="H32" s="4" t="s">
        <v>26</v>
      </c>
      <c r="I32" s="53" t="s">
        <v>27</v>
      </c>
      <c r="J32" s="4"/>
      <c r="K32" s="34">
        <v>180000</v>
      </c>
      <c r="L32" s="36">
        <v>470000</v>
      </c>
      <c r="M32" s="4" t="s">
        <v>58</v>
      </c>
      <c r="N32" s="5" t="s">
        <v>84</v>
      </c>
      <c r="O32" s="3"/>
      <c r="P32" s="16"/>
    </row>
    <row r="33" spans="2:16" customFormat="1" ht="20.100000000000001" customHeight="1" x14ac:dyDescent="0.15">
      <c r="B33" s="15">
        <f t="shared" si="0"/>
        <v>29</v>
      </c>
      <c r="C33" s="23">
        <v>2023</v>
      </c>
      <c r="D33" s="23"/>
      <c r="E33" s="3" t="s">
        <v>72</v>
      </c>
      <c r="F33" s="21" t="s">
        <v>78</v>
      </c>
      <c r="G33" s="52"/>
      <c r="H33" s="4" t="s">
        <v>26</v>
      </c>
      <c r="I33" s="4"/>
      <c r="J33" s="4"/>
      <c r="K33" s="34">
        <v>350000</v>
      </c>
      <c r="L33" s="36"/>
      <c r="M33" s="4" t="s">
        <v>71</v>
      </c>
      <c r="N33" s="5" t="s">
        <v>70</v>
      </c>
      <c r="O33" s="7"/>
      <c r="P33" s="18"/>
    </row>
    <row r="34" spans="2:16" customFormat="1" ht="20.100000000000001" customHeight="1" x14ac:dyDescent="0.15">
      <c r="B34" s="15">
        <f t="shared" si="0"/>
        <v>30</v>
      </c>
      <c r="C34" s="23">
        <v>2023</v>
      </c>
      <c r="D34" s="23"/>
      <c r="E34" s="3" t="s">
        <v>73</v>
      </c>
      <c r="F34" s="21" t="s">
        <v>79</v>
      </c>
      <c r="G34" s="52"/>
      <c r="H34" s="4" t="s">
        <v>26</v>
      </c>
      <c r="I34" s="4"/>
      <c r="J34" s="4"/>
      <c r="K34" s="34">
        <v>100000</v>
      </c>
      <c r="L34" s="36"/>
      <c r="M34" s="4" t="s">
        <v>71</v>
      </c>
      <c r="N34" s="5" t="s">
        <v>70</v>
      </c>
      <c r="O34" s="7"/>
      <c r="P34" s="18"/>
    </row>
    <row r="35" spans="2:16" ht="20.100000000000001" customHeight="1" x14ac:dyDescent="0.15">
      <c r="B35" s="15">
        <f t="shared" si="0"/>
        <v>31</v>
      </c>
      <c r="C35" s="23">
        <v>2023</v>
      </c>
      <c r="D35" s="23"/>
      <c r="E35" s="3" t="s">
        <v>232</v>
      </c>
      <c r="F35" s="21" t="s">
        <v>233</v>
      </c>
      <c r="G35" s="52" t="s">
        <v>133</v>
      </c>
      <c r="H35" s="4" t="s">
        <v>26</v>
      </c>
      <c r="I35" s="53" t="s">
        <v>36</v>
      </c>
      <c r="J35" s="4"/>
      <c r="K35" s="34">
        <v>120000</v>
      </c>
      <c r="L35" s="36"/>
      <c r="M35" s="4" t="s">
        <v>58</v>
      </c>
      <c r="N35" s="5" t="s">
        <v>70</v>
      </c>
      <c r="O35" s="3"/>
      <c r="P35" s="16"/>
    </row>
    <row r="36" spans="2:16" customFormat="1" ht="20.100000000000001" customHeight="1" x14ac:dyDescent="0.15">
      <c r="B36" s="15">
        <f t="shared" si="0"/>
        <v>32</v>
      </c>
      <c r="C36" s="23">
        <v>2023</v>
      </c>
      <c r="D36" s="23"/>
      <c r="E36" s="3" t="s">
        <v>74</v>
      </c>
      <c r="F36" s="21" t="s">
        <v>80</v>
      </c>
      <c r="G36" s="52"/>
      <c r="H36" s="4" t="s">
        <v>26</v>
      </c>
      <c r="I36" s="4"/>
      <c r="J36" s="4"/>
      <c r="K36" s="34">
        <v>200000</v>
      </c>
      <c r="L36" s="36"/>
      <c r="M36" s="4" t="s">
        <v>71</v>
      </c>
      <c r="N36" s="5" t="s">
        <v>70</v>
      </c>
      <c r="O36" s="7"/>
      <c r="P36" s="18"/>
    </row>
    <row r="37" spans="2:16" customFormat="1" ht="20.100000000000001" customHeight="1" x14ac:dyDescent="0.15">
      <c r="B37" s="15">
        <f t="shared" si="0"/>
        <v>33</v>
      </c>
      <c r="C37" s="23">
        <v>2024</v>
      </c>
      <c r="D37" s="23"/>
      <c r="E37" s="3" t="s">
        <v>158</v>
      </c>
      <c r="F37" s="3" t="s">
        <v>81</v>
      </c>
      <c r="G37" s="4" t="s">
        <v>130</v>
      </c>
      <c r="H37" s="4" t="s">
        <v>26</v>
      </c>
      <c r="I37" s="4" t="s">
        <v>69</v>
      </c>
      <c r="J37" s="4"/>
      <c r="K37" s="34">
        <v>190000</v>
      </c>
      <c r="L37" s="36"/>
      <c r="M37" s="4" t="s">
        <v>51</v>
      </c>
      <c r="N37" s="5" t="s">
        <v>70</v>
      </c>
      <c r="O37" s="7"/>
      <c r="P37" s="18"/>
    </row>
    <row r="38" spans="2:16" customFormat="1" ht="20.100000000000001" customHeight="1" x14ac:dyDescent="0.15">
      <c r="B38" s="15">
        <f t="shared" si="0"/>
        <v>34</v>
      </c>
      <c r="C38" s="23">
        <v>2023</v>
      </c>
      <c r="D38" s="23">
        <v>2023.3</v>
      </c>
      <c r="E38" s="3" t="s">
        <v>90</v>
      </c>
      <c r="F38" s="21" t="s">
        <v>82</v>
      </c>
      <c r="G38" s="52"/>
      <c r="H38" s="4" t="s">
        <v>26</v>
      </c>
      <c r="I38" s="4" t="s">
        <v>1</v>
      </c>
      <c r="J38" s="4"/>
      <c r="K38" s="34">
        <v>8000</v>
      </c>
      <c r="L38" s="36">
        <v>4730</v>
      </c>
      <c r="M38" s="4" t="s">
        <v>34</v>
      </c>
      <c r="N38" s="5" t="s">
        <v>83</v>
      </c>
      <c r="O38" s="3" t="s">
        <v>89</v>
      </c>
      <c r="P38" s="18"/>
    </row>
    <row r="39" spans="2:16" customFormat="1" ht="20.100000000000001" customHeight="1" x14ac:dyDescent="0.15">
      <c r="B39" s="15">
        <f t="shared" si="0"/>
        <v>35</v>
      </c>
      <c r="C39" s="23">
        <v>2023</v>
      </c>
      <c r="D39" s="23">
        <v>2023.6</v>
      </c>
      <c r="E39" s="3" t="s">
        <v>95</v>
      </c>
      <c r="F39" s="3" t="s">
        <v>96</v>
      </c>
      <c r="G39" s="4"/>
      <c r="H39" s="4" t="s">
        <v>37</v>
      </c>
      <c r="I39" s="4" t="s">
        <v>1</v>
      </c>
      <c r="J39" s="4"/>
      <c r="K39" s="34">
        <v>210000</v>
      </c>
      <c r="L39" s="36">
        <v>205500</v>
      </c>
      <c r="M39" s="4" t="s">
        <v>34</v>
      </c>
      <c r="N39" s="5" t="s">
        <v>22</v>
      </c>
      <c r="O39" s="3" t="s">
        <v>190</v>
      </c>
      <c r="P39" s="18"/>
    </row>
    <row r="40" spans="2:16" customFormat="1" ht="20.100000000000001" customHeight="1" x14ac:dyDescent="0.15">
      <c r="B40" s="15">
        <f t="shared" si="0"/>
        <v>36</v>
      </c>
      <c r="C40" s="23">
        <v>2023</v>
      </c>
      <c r="D40" s="23"/>
      <c r="E40" s="3" t="s">
        <v>100</v>
      </c>
      <c r="F40" s="3" t="s">
        <v>101</v>
      </c>
      <c r="G40" s="4"/>
      <c r="H40" s="4" t="s">
        <v>26</v>
      </c>
      <c r="I40" s="4" t="s">
        <v>1</v>
      </c>
      <c r="J40" s="4"/>
      <c r="K40" s="34"/>
      <c r="L40" s="36">
        <v>85000</v>
      </c>
      <c r="M40" s="4" t="s">
        <v>34</v>
      </c>
      <c r="N40" s="5" t="s">
        <v>131</v>
      </c>
      <c r="O40" s="3" t="s">
        <v>177</v>
      </c>
      <c r="P40" s="18"/>
    </row>
    <row r="41" spans="2:16" customFormat="1" ht="20.100000000000001" customHeight="1" x14ac:dyDescent="0.15">
      <c r="B41" s="15">
        <f t="shared" si="0"/>
        <v>37</v>
      </c>
      <c r="C41" s="50">
        <v>2024</v>
      </c>
      <c r="D41" s="23">
        <v>2024.1</v>
      </c>
      <c r="E41" s="59" t="s">
        <v>207</v>
      </c>
      <c r="F41" s="3" t="s">
        <v>122</v>
      </c>
      <c r="G41" s="4" t="s">
        <v>133</v>
      </c>
      <c r="H41" s="4" t="s">
        <v>26</v>
      </c>
      <c r="I41" s="53" t="s">
        <v>98</v>
      </c>
      <c r="J41" s="4"/>
      <c r="K41" s="34">
        <v>35000</v>
      </c>
      <c r="L41" s="36">
        <v>32000</v>
      </c>
      <c r="M41" s="4" t="s">
        <v>34</v>
      </c>
      <c r="N41" s="5" t="s">
        <v>121</v>
      </c>
      <c r="O41" s="3" t="s">
        <v>231</v>
      </c>
      <c r="P41" s="18"/>
    </row>
    <row r="42" spans="2:16" customFormat="1" ht="20.100000000000001" customHeight="1" x14ac:dyDescent="0.15">
      <c r="B42" s="15">
        <f t="shared" si="0"/>
        <v>38</v>
      </c>
      <c r="C42" s="50">
        <v>2024</v>
      </c>
      <c r="D42" s="23">
        <v>2024.1</v>
      </c>
      <c r="E42" s="59" t="s">
        <v>179</v>
      </c>
      <c r="F42" s="3" t="s">
        <v>123</v>
      </c>
      <c r="G42" s="4" t="s">
        <v>133</v>
      </c>
      <c r="H42" s="4" t="s">
        <v>26</v>
      </c>
      <c r="I42" s="53" t="s">
        <v>1</v>
      </c>
      <c r="J42" s="4">
        <v>2024.5</v>
      </c>
      <c r="K42" s="34"/>
      <c r="L42" s="36">
        <v>16520.849999999999</v>
      </c>
      <c r="M42" s="4" t="s">
        <v>34</v>
      </c>
      <c r="N42" s="5" t="s">
        <v>22</v>
      </c>
      <c r="O42" s="3" t="s">
        <v>180</v>
      </c>
      <c r="P42" s="18"/>
    </row>
    <row r="43" spans="2:16" ht="20.100000000000001" customHeight="1" x14ac:dyDescent="0.15">
      <c r="B43" s="15">
        <f t="shared" si="0"/>
        <v>39</v>
      </c>
      <c r="C43" s="50">
        <v>2023</v>
      </c>
      <c r="D43" s="23">
        <v>2023.12</v>
      </c>
      <c r="E43" s="59" t="s">
        <v>120</v>
      </c>
      <c r="F43" s="3" t="s">
        <v>155</v>
      </c>
      <c r="G43" s="4" t="s">
        <v>133</v>
      </c>
      <c r="H43" s="4" t="s">
        <v>26</v>
      </c>
      <c r="I43" s="53" t="s">
        <v>135</v>
      </c>
      <c r="J43" s="4"/>
      <c r="K43" s="34"/>
      <c r="L43" s="36">
        <v>60000</v>
      </c>
      <c r="M43" s="4" t="s">
        <v>58</v>
      </c>
      <c r="N43" s="5" t="s">
        <v>121</v>
      </c>
      <c r="O43" s="3"/>
      <c r="P43" s="16"/>
    </row>
    <row r="44" spans="2:16" customFormat="1" ht="20.100000000000001" customHeight="1" x14ac:dyDescent="0.15">
      <c r="B44" s="15">
        <f t="shared" si="0"/>
        <v>40</v>
      </c>
      <c r="C44" s="50">
        <v>2024</v>
      </c>
      <c r="D44" s="23">
        <v>2024.1</v>
      </c>
      <c r="E44" s="58" t="s">
        <v>176</v>
      </c>
      <c r="F44" s="3" t="s">
        <v>124</v>
      </c>
      <c r="G44" s="4" t="s">
        <v>133</v>
      </c>
      <c r="H44" s="4" t="s">
        <v>26</v>
      </c>
      <c r="I44" s="53" t="s">
        <v>1</v>
      </c>
      <c r="J44" s="4">
        <v>2024.5</v>
      </c>
      <c r="K44" s="34"/>
      <c r="L44" s="36">
        <v>9433.1370000000006</v>
      </c>
      <c r="M44" s="4" t="s">
        <v>34</v>
      </c>
      <c r="N44" s="5" t="s">
        <v>22</v>
      </c>
      <c r="O44" s="3" t="s">
        <v>152</v>
      </c>
      <c r="P44" s="18"/>
    </row>
    <row r="45" spans="2:16" customFormat="1" ht="20.100000000000001" customHeight="1" x14ac:dyDescent="0.15">
      <c r="B45" s="15">
        <f t="shared" si="0"/>
        <v>41</v>
      </c>
      <c r="C45" s="50">
        <v>2024</v>
      </c>
      <c r="D45" s="23">
        <v>2024.1</v>
      </c>
      <c r="E45" s="58" t="s">
        <v>147</v>
      </c>
      <c r="F45" s="3" t="s">
        <v>125</v>
      </c>
      <c r="G45" s="4" t="s">
        <v>133</v>
      </c>
      <c r="H45" s="4" t="s">
        <v>26</v>
      </c>
      <c r="I45" s="53" t="s">
        <v>1</v>
      </c>
      <c r="J45" s="4">
        <v>2024.5</v>
      </c>
      <c r="K45" s="34"/>
      <c r="L45" s="36">
        <v>2520.1</v>
      </c>
      <c r="M45" s="4" t="s">
        <v>34</v>
      </c>
      <c r="N45" s="5" t="s">
        <v>22</v>
      </c>
      <c r="O45" s="3" t="s">
        <v>157</v>
      </c>
      <c r="P45" s="18"/>
    </row>
    <row r="46" spans="2:16" customFormat="1" ht="20.100000000000001" customHeight="1" x14ac:dyDescent="0.15">
      <c r="B46" s="15">
        <f t="shared" si="0"/>
        <v>42</v>
      </c>
      <c r="C46" s="50">
        <v>2024</v>
      </c>
      <c r="D46" s="23">
        <v>2024.1</v>
      </c>
      <c r="E46" s="59" t="s">
        <v>181</v>
      </c>
      <c r="F46" s="3" t="s">
        <v>182</v>
      </c>
      <c r="G46" s="4" t="s">
        <v>133</v>
      </c>
      <c r="H46" s="4" t="s">
        <v>26</v>
      </c>
      <c r="I46" s="53" t="s">
        <v>1</v>
      </c>
      <c r="J46" s="4">
        <v>2024.5</v>
      </c>
      <c r="K46" s="34"/>
      <c r="L46" s="36">
        <v>37230.730000000003</v>
      </c>
      <c r="M46" s="4" t="s">
        <v>34</v>
      </c>
      <c r="N46" s="5" t="s">
        <v>22</v>
      </c>
      <c r="O46" s="3" t="s">
        <v>178</v>
      </c>
      <c r="P46" s="18"/>
    </row>
    <row r="47" spans="2:16" customFormat="1" ht="20.100000000000001" customHeight="1" x14ac:dyDescent="0.15">
      <c r="B47" s="15">
        <f t="shared" si="0"/>
        <v>43</v>
      </c>
      <c r="C47" s="50">
        <v>2024</v>
      </c>
      <c r="D47" s="23">
        <v>2024.1</v>
      </c>
      <c r="E47" s="59" t="s">
        <v>146</v>
      </c>
      <c r="F47" s="3" t="s">
        <v>126</v>
      </c>
      <c r="G47" s="4" t="s">
        <v>134</v>
      </c>
      <c r="H47" s="4" t="s">
        <v>26</v>
      </c>
      <c r="I47" s="53" t="s">
        <v>1</v>
      </c>
      <c r="J47" s="4">
        <v>2024.5</v>
      </c>
      <c r="K47" s="34">
        <v>25000</v>
      </c>
      <c r="L47" s="36">
        <v>23000</v>
      </c>
      <c r="M47" s="4" t="s">
        <v>34</v>
      </c>
      <c r="N47" s="5" t="s">
        <v>22</v>
      </c>
      <c r="O47" s="3" t="s">
        <v>156</v>
      </c>
      <c r="P47" s="18"/>
    </row>
    <row r="48" spans="2:16" customFormat="1" ht="20.100000000000001" customHeight="1" x14ac:dyDescent="0.15">
      <c r="B48" s="15">
        <f t="shared" si="0"/>
        <v>44</v>
      </c>
      <c r="C48" s="50">
        <v>2024</v>
      </c>
      <c r="D48" s="23">
        <v>2024.1</v>
      </c>
      <c r="E48" s="59" t="s">
        <v>150</v>
      </c>
      <c r="F48" s="3" t="s">
        <v>127</v>
      </c>
      <c r="G48" s="4" t="s">
        <v>133</v>
      </c>
      <c r="H48" s="4" t="s">
        <v>26</v>
      </c>
      <c r="I48" s="53" t="s">
        <v>1</v>
      </c>
      <c r="J48" s="4">
        <v>2024.5</v>
      </c>
      <c r="K48" s="34">
        <v>130000</v>
      </c>
      <c r="L48" s="36">
        <v>111050</v>
      </c>
      <c r="M48" s="4" t="s">
        <v>34</v>
      </c>
      <c r="N48" s="5" t="s">
        <v>22</v>
      </c>
      <c r="O48" s="61" t="s">
        <v>189</v>
      </c>
      <c r="P48" s="18"/>
    </row>
    <row r="49" spans="2:16" ht="20.100000000000001" customHeight="1" x14ac:dyDescent="0.15">
      <c r="B49" s="15">
        <f t="shared" si="0"/>
        <v>45</v>
      </c>
      <c r="C49" s="50">
        <v>2024</v>
      </c>
      <c r="D49" s="23">
        <v>2024.3</v>
      </c>
      <c r="E49" s="59" t="s">
        <v>216</v>
      </c>
      <c r="F49" s="3" t="s">
        <v>137</v>
      </c>
      <c r="G49" s="4" t="s">
        <v>130</v>
      </c>
      <c r="H49" s="4" t="s">
        <v>26</v>
      </c>
      <c r="I49" s="53" t="s">
        <v>27</v>
      </c>
      <c r="J49" s="4"/>
      <c r="K49" s="34">
        <v>250000</v>
      </c>
      <c r="L49" s="36">
        <v>250000</v>
      </c>
      <c r="M49" s="4" t="s">
        <v>58</v>
      </c>
      <c r="N49" s="5" t="s">
        <v>121</v>
      </c>
      <c r="O49" s="3"/>
      <c r="P49" s="16"/>
    </row>
    <row r="50" spans="2:16" ht="20.100000000000001" customHeight="1" x14ac:dyDescent="0.15">
      <c r="B50" s="15">
        <f t="shared" si="0"/>
        <v>46</v>
      </c>
      <c r="C50" s="50">
        <v>2024</v>
      </c>
      <c r="D50" s="23">
        <v>2024.3</v>
      </c>
      <c r="E50" s="59" t="s">
        <v>217</v>
      </c>
      <c r="F50" s="3" t="s">
        <v>128</v>
      </c>
      <c r="G50" s="4" t="s">
        <v>130</v>
      </c>
      <c r="H50" s="4" t="s">
        <v>26</v>
      </c>
      <c r="I50" s="53" t="s">
        <v>27</v>
      </c>
      <c r="J50" s="4"/>
      <c r="K50" s="34">
        <v>320000</v>
      </c>
      <c r="L50" s="36">
        <v>297000</v>
      </c>
      <c r="M50" s="4" t="s">
        <v>58</v>
      </c>
      <c r="N50" s="5" t="s">
        <v>121</v>
      </c>
      <c r="O50" s="3"/>
      <c r="P50" s="16"/>
    </row>
    <row r="51" spans="2:16" ht="20.100000000000001" customHeight="1" x14ac:dyDescent="0.15">
      <c r="B51" s="15">
        <f t="shared" si="0"/>
        <v>47</v>
      </c>
      <c r="C51" s="50">
        <v>2024</v>
      </c>
      <c r="D51" s="23">
        <v>2024.3</v>
      </c>
      <c r="E51" s="59" t="s">
        <v>219</v>
      </c>
      <c r="F51" s="3" t="s">
        <v>138</v>
      </c>
      <c r="G51" s="4" t="s">
        <v>130</v>
      </c>
      <c r="H51" s="4" t="s">
        <v>26</v>
      </c>
      <c r="I51" s="53" t="s">
        <v>1</v>
      </c>
      <c r="J51" s="4"/>
      <c r="K51" s="34">
        <v>185000</v>
      </c>
      <c r="L51" s="36">
        <v>182000</v>
      </c>
      <c r="M51" s="4" t="s">
        <v>34</v>
      </c>
      <c r="N51" s="5" t="s">
        <v>121</v>
      </c>
      <c r="O51" s="3" t="s">
        <v>257</v>
      </c>
      <c r="P51" s="16"/>
    </row>
    <row r="52" spans="2:16" customFormat="1" ht="20.100000000000001" customHeight="1" x14ac:dyDescent="0.15">
      <c r="B52" s="15">
        <f t="shared" si="0"/>
        <v>48</v>
      </c>
      <c r="C52" s="50">
        <v>2024</v>
      </c>
      <c r="D52" s="23">
        <v>2024.3</v>
      </c>
      <c r="E52" s="58" t="s">
        <v>149</v>
      </c>
      <c r="F52" s="3" t="s">
        <v>139</v>
      </c>
      <c r="G52" s="4" t="s">
        <v>130</v>
      </c>
      <c r="H52" s="4" t="s">
        <v>26</v>
      </c>
      <c r="I52" s="4" t="s">
        <v>36</v>
      </c>
      <c r="J52" s="4"/>
      <c r="K52" s="34"/>
      <c r="L52" s="36"/>
      <c r="M52" s="4" t="s">
        <v>51</v>
      </c>
      <c r="N52" s="4" t="s">
        <v>129</v>
      </c>
      <c r="O52" s="7"/>
      <c r="P52" s="18"/>
    </row>
    <row r="53" spans="2:16" ht="20.100000000000001" customHeight="1" x14ac:dyDescent="0.15">
      <c r="B53" s="15">
        <f t="shared" si="0"/>
        <v>49</v>
      </c>
      <c r="C53" s="50">
        <v>2024</v>
      </c>
      <c r="D53" s="23">
        <v>2024.3</v>
      </c>
      <c r="E53" s="59" t="s">
        <v>218</v>
      </c>
      <c r="F53" s="3" t="s">
        <v>143</v>
      </c>
      <c r="G53" s="4" t="s">
        <v>130</v>
      </c>
      <c r="H53" s="4" t="s">
        <v>26</v>
      </c>
      <c r="I53" s="53" t="s">
        <v>27</v>
      </c>
      <c r="J53" s="4"/>
      <c r="K53" s="34">
        <v>170000</v>
      </c>
      <c r="L53" s="36">
        <v>166178</v>
      </c>
      <c r="M53" s="4" t="s">
        <v>58</v>
      </c>
      <c r="N53" s="5" t="s">
        <v>21</v>
      </c>
      <c r="O53" s="3"/>
      <c r="P53" s="16"/>
    </row>
    <row r="54" spans="2:16" ht="20.100000000000001" customHeight="1" x14ac:dyDescent="0.15">
      <c r="B54" s="15">
        <f t="shared" si="0"/>
        <v>50</v>
      </c>
      <c r="C54" s="50">
        <v>2024</v>
      </c>
      <c r="D54" s="23">
        <v>2024.3</v>
      </c>
      <c r="E54" s="59" t="s">
        <v>198</v>
      </c>
      <c r="F54" s="3" t="s">
        <v>144</v>
      </c>
      <c r="G54" s="4" t="s">
        <v>130</v>
      </c>
      <c r="H54" s="4" t="s">
        <v>37</v>
      </c>
      <c r="I54" s="53" t="s">
        <v>135</v>
      </c>
      <c r="J54" s="4"/>
      <c r="K54" s="34">
        <v>430000</v>
      </c>
      <c r="L54" s="36">
        <v>380000</v>
      </c>
      <c r="M54" s="4" t="s">
        <v>58</v>
      </c>
      <c r="N54" s="5" t="s">
        <v>21</v>
      </c>
      <c r="O54" s="3"/>
      <c r="P54" s="16"/>
    </row>
    <row r="55" spans="2:16" customFormat="1" ht="20.100000000000001" customHeight="1" x14ac:dyDescent="0.15">
      <c r="B55" s="15">
        <f t="shared" si="0"/>
        <v>51</v>
      </c>
      <c r="C55" s="23">
        <v>2024</v>
      </c>
      <c r="D55" s="23">
        <v>2024.3</v>
      </c>
      <c r="E55" s="59" t="s">
        <v>165</v>
      </c>
      <c r="F55" s="3" t="s">
        <v>140</v>
      </c>
      <c r="G55" s="4" t="s">
        <v>130</v>
      </c>
      <c r="H55" s="4" t="s">
        <v>26</v>
      </c>
      <c r="I55" s="4" t="s">
        <v>36</v>
      </c>
      <c r="J55" s="4"/>
      <c r="K55" s="34"/>
      <c r="L55" s="36"/>
      <c r="M55" s="4" t="s">
        <v>51</v>
      </c>
      <c r="N55" s="4" t="s">
        <v>132</v>
      </c>
      <c r="O55" s="7"/>
      <c r="P55" s="18"/>
    </row>
    <row r="56" spans="2:16" ht="20.100000000000001" customHeight="1" x14ac:dyDescent="0.15">
      <c r="B56" s="15">
        <f t="shared" si="0"/>
        <v>52</v>
      </c>
      <c r="C56" s="50">
        <v>2024</v>
      </c>
      <c r="D56" s="23">
        <v>2024.4</v>
      </c>
      <c r="E56" s="59" t="s">
        <v>159</v>
      </c>
      <c r="F56" s="3" t="s">
        <v>141</v>
      </c>
      <c r="G56" s="4" t="s">
        <v>130</v>
      </c>
      <c r="H56" s="4" t="s">
        <v>26</v>
      </c>
      <c r="I56" s="53" t="s">
        <v>135</v>
      </c>
      <c r="J56" s="4"/>
      <c r="K56" s="36">
        <v>303500</v>
      </c>
      <c r="L56" s="36">
        <v>290000</v>
      </c>
      <c r="M56" s="4" t="s">
        <v>58</v>
      </c>
      <c r="N56" s="5" t="s">
        <v>22</v>
      </c>
      <c r="O56" s="3"/>
      <c r="P56" s="16"/>
    </row>
    <row r="57" spans="2:16" customFormat="1" ht="20.100000000000001" customHeight="1" x14ac:dyDescent="0.15">
      <c r="B57" s="15">
        <f t="shared" si="0"/>
        <v>53</v>
      </c>
      <c r="C57" s="50">
        <v>2024</v>
      </c>
      <c r="D57" s="23">
        <v>2024.4</v>
      </c>
      <c r="E57" s="59" t="s">
        <v>151</v>
      </c>
      <c r="F57" s="3" t="s">
        <v>142</v>
      </c>
      <c r="G57" s="4" t="s">
        <v>130</v>
      </c>
      <c r="H57" s="4" t="s">
        <v>26</v>
      </c>
      <c r="I57" s="53" t="s">
        <v>36</v>
      </c>
      <c r="J57" s="4"/>
      <c r="K57" s="34"/>
      <c r="L57" s="36"/>
      <c r="M57" s="4" t="s">
        <v>51</v>
      </c>
      <c r="N57" s="5" t="s">
        <v>22</v>
      </c>
      <c r="O57" s="7"/>
      <c r="P57" s="18"/>
    </row>
    <row r="58" spans="2:16" customFormat="1" ht="20.100000000000001" customHeight="1" x14ac:dyDescent="0.15">
      <c r="B58" s="15">
        <f t="shared" si="0"/>
        <v>54</v>
      </c>
      <c r="C58" s="50">
        <v>2024</v>
      </c>
      <c r="D58" s="23">
        <v>2024.1</v>
      </c>
      <c r="E58" s="59" t="s">
        <v>167</v>
      </c>
      <c r="F58" s="3" t="s">
        <v>168</v>
      </c>
      <c r="G58" s="4" t="s">
        <v>130</v>
      </c>
      <c r="H58" s="4" t="s">
        <v>28</v>
      </c>
      <c r="I58" s="53" t="s">
        <v>1</v>
      </c>
      <c r="J58" s="4"/>
      <c r="K58" s="34"/>
      <c r="L58" s="33">
        <v>86185.1</v>
      </c>
      <c r="M58" s="4" t="s">
        <v>34</v>
      </c>
      <c r="N58" s="5" t="s">
        <v>22</v>
      </c>
      <c r="O58" s="3" t="s">
        <v>221</v>
      </c>
      <c r="P58" s="18"/>
    </row>
    <row r="59" spans="2:16" customFormat="1" ht="20.100000000000001" customHeight="1" x14ac:dyDescent="0.15">
      <c r="B59" s="15">
        <f t="shared" si="0"/>
        <v>55</v>
      </c>
      <c r="C59" s="23">
        <v>2024</v>
      </c>
      <c r="D59" s="23">
        <v>2024.1</v>
      </c>
      <c r="E59" s="59" t="s">
        <v>199</v>
      </c>
      <c r="F59" s="3" t="s">
        <v>184</v>
      </c>
      <c r="G59" s="4" t="s">
        <v>130</v>
      </c>
      <c r="H59" s="4" t="s">
        <v>37</v>
      </c>
      <c r="I59" s="4" t="s">
        <v>1</v>
      </c>
      <c r="J59" s="4">
        <v>2024.7</v>
      </c>
      <c r="K59" s="34">
        <v>268000</v>
      </c>
      <c r="L59" s="36">
        <v>260000</v>
      </c>
      <c r="M59" s="4" t="s">
        <v>34</v>
      </c>
      <c r="N59" s="4" t="s">
        <v>75</v>
      </c>
      <c r="O59" s="59" t="s">
        <v>185</v>
      </c>
      <c r="P59" s="18"/>
    </row>
    <row r="60" spans="2:16" ht="20.100000000000001" customHeight="1" x14ac:dyDescent="0.15">
      <c r="B60" s="15">
        <f t="shared" si="0"/>
        <v>56</v>
      </c>
      <c r="C60" s="23">
        <v>2024</v>
      </c>
      <c r="D60" s="23">
        <v>2024.4</v>
      </c>
      <c r="E60" s="59" t="s">
        <v>220</v>
      </c>
      <c r="F60" s="3" t="s">
        <v>169</v>
      </c>
      <c r="G60" s="4" t="s">
        <v>130</v>
      </c>
      <c r="H60" s="4" t="s">
        <v>26</v>
      </c>
      <c r="I60" s="53" t="s">
        <v>60</v>
      </c>
      <c r="J60" s="4"/>
      <c r="K60" s="34">
        <v>90000</v>
      </c>
      <c r="L60" s="36">
        <v>88000</v>
      </c>
      <c r="M60" s="4" t="s">
        <v>58</v>
      </c>
      <c r="N60" s="4" t="s">
        <v>21</v>
      </c>
      <c r="O60" s="3"/>
      <c r="P60" s="16"/>
    </row>
    <row r="61" spans="2:16" customFormat="1" ht="20.100000000000001" customHeight="1" x14ac:dyDescent="0.15">
      <c r="B61" s="15">
        <f t="shared" si="0"/>
        <v>57</v>
      </c>
      <c r="C61" s="23">
        <v>2024</v>
      </c>
      <c r="D61" s="23">
        <v>2024.4</v>
      </c>
      <c r="E61" s="58" t="s">
        <v>160</v>
      </c>
      <c r="F61" s="3" t="s">
        <v>170</v>
      </c>
      <c r="G61" s="4"/>
      <c r="H61" s="4"/>
      <c r="I61" s="53"/>
      <c r="J61" s="4"/>
      <c r="K61" s="34"/>
      <c r="L61" s="36"/>
      <c r="M61" s="4" t="s">
        <v>51</v>
      </c>
      <c r="N61" s="5"/>
      <c r="O61" s="7"/>
      <c r="P61" s="18"/>
    </row>
    <row r="62" spans="2:16" customFormat="1" ht="20.100000000000001" customHeight="1" x14ac:dyDescent="0.15">
      <c r="B62" s="15">
        <f t="shared" si="0"/>
        <v>58</v>
      </c>
      <c r="C62" s="23">
        <v>2024</v>
      </c>
      <c r="D62" s="23">
        <v>2024.4</v>
      </c>
      <c r="E62" s="59" t="s">
        <v>161</v>
      </c>
      <c r="F62" s="3" t="s">
        <v>171</v>
      </c>
      <c r="G62" s="4"/>
      <c r="H62" s="4"/>
      <c r="I62" s="53"/>
      <c r="J62" s="4"/>
      <c r="K62" s="34"/>
      <c r="L62" s="36"/>
      <c r="M62" s="4" t="s">
        <v>71</v>
      </c>
      <c r="N62" s="5"/>
      <c r="O62" s="7"/>
      <c r="P62" s="18"/>
    </row>
    <row r="63" spans="2:16" customFormat="1" ht="20.100000000000001" customHeight="1" x14ac:dyDescent="0.15">
      <c r="B63" s="15">
        <f t="shared" si="0"/>
        <v>59</v>
      </c>
      <c r="C63" s="23">
        <v>2024</v>
      </c>
      <c r="D63" s="23">
        <v>2024.4</v>
      </c>
      <c r="E63" s="59" t="s">
        <v>187</v>
      </c>
      <c r="F63" s="3" t="s">
        <v>172</v>
      </c>
      <c r="G63" s="4"/>
      <c r="H63" s="4"/>
      <c r="I63" s="53"/>
      <c r="J63" s="4"/>
      <c r="K63" s="34"/>
      <c r="L63" s="36"/>
      <c r="M63" s="4" t="s">
        <v>71</v>
      </c>
      <c r="N63" s="5"/>
      <c r="O63" s="7"/>
      <c r="P63" s="18"/>
    </row>
    <row r="64" spans="2:16" customFormat="1" ht="20.100000000000001" customHeight="1" x14ac:dyDescent="0.15">
      <c r="B64" s="15">
        <f t="shared" si="0"/>
        <v>60</v>
      </c>
      <c r="C64" s="23">
        <v>2024</v>
      </c>
      <c r="D64" s="23">
        <v>2024.4</v>
      </c>
      <c r="E64" s="59" t="s">
        <v>162</v>
      </c>
      <c r="F64" s="3" t="s">
        <v>173</v>
      </c>
      <c r="G64" s="4"/>
      <c r="H64" s="4"/>
      <c r="I64" s="53"/>
      <c r="J64" s="4"/>
      <c r="K64" s="34"/>
      <c r="L64" s="36"/>
      <c r="M64" s="4" t="s">
        <v>71</v>
      </c>
      <c r="N64" s="5"/>
      <c r="O64" s="7"/>
      <c r="P64" s="18"/>
    </row>
    <row r="65" spans="2:16" customFormat="1" ht="20.100000000000001" customHeight="1" x14ac:dyDescent="0.15">
      <c r="B65" s="15">
        <f t="shared" si="0"/>
        <v>61</v>
      </c>
      <c r="C65" s="23">
        <v>2024</v>
      </c>
      <c r="D65" s="23">
        <v>2024.4</v>
      </c>
      <c r="E65" s="59" t="s">
        <v>163</v>
      </c>
      <c r="F65" s="3" t="s">
        <v>174</v>
      </c>
      <c r="G65" s="4"/>
      <c r="H65" s="4"/>
      <c r="I65" s="53"/>
      <c r="J65" s="4"/>
      <c r="K65" s="34"/>
      <c r="L65" s="36"/>
      <c r="M65" s="4" t="s">
        <v>51</v>
      </c>
      <c r="N65" s="5"/>
      <c r="O65" s="7"/>
      <c r="P65" s="18"/>
    </row>
    <row r="66" spans="2:16" customFormat="1" ht="20.100000000000001" customHeight="1" x14ac:dyDescent="0.15">
      <c r="B66" s="15">
        <f t="shared" si="0"/>
        <v>62</v>
      </c>
      <c r="C66" s="23">
        <v>2024</v>
      </c>
      <c r="D66" s="23">
        <v>2024.4</v>
      </c>
      <c r="E66" s="59" t="s">
        <v>164</v>
      </c>
      <c r="F66" s="3" t="s">
        <v>175</v>
      </c>
      <c r="G66" s="4"/>
      <c r="H66" s="4"/>
      <c r="I66" s="53"/>
      <c r="J66" s="4"/>
      <c r="K66" s="34"/>
      <c r="L66" s="36"/>
      <c r="M66" s="4" t="s">
        <v>71</v>
      </c>
      <c r="N66" s="5"/>
      <c r="O66" s="7"/>
      <c r="P66" s="18"/>
    </row>
    <row r="67" spans="2:16" customFormat="1" ht="20.100000000000001" customHeight="1" x14ac:dyDescent="0.15">
      <c r="B67" s="15">
        <f t="shared" si="0"/>
        <v>63</v>
      </c>
      <c r="C67" s="50">
        <v>2024</v>
      </c>
      <c r="D67" s="23">
        <v>2024.6</v>
      </c>
      <c r="E67" s="59" t="s">
        <v>192</v>
      </c>
      <c r="F67" s="3" t="s">
        <v>193</v>
      </c>
      <c r="G67" s="4" t="s">
        <v>130</v>
      </c>
      <c r="H67" s="4" t="s">
        <v>26</v>
      </c>
      <c r="I67" s="53" t="s">
        <v>1</v>
      </c>
      <c r="J67" s="4"/>
      <c r="K67" s="34">
        <v>75000</v>
      </c>
      <c r="L67" s="36">
        <v>75000</v>
      </c>
      <c r="M67" s="4" t="s">
        <v>34</v>
      </c>
      <c r="N67" s="4" t="s">
        <v>21</v>
      </c>
      <c r="O67" s="3" t="s">
        <v>224</v>
      </c>
      <c r="P67" s="18"/>
    </row>
    <row r="68" spans="2:16" customFormat="1" ht="20.100000000000001" customHeight="1" x14ac:dyDescent="0.15">
      <c r="B68" s="15">
        <f t="shared" si="0"/>
        <v>64</v>
      </c>
      <c r="C68" s="50">
        <v>2024</v>
      </c>
      <c r="D68" s="23">
        <v>2024.7</v>
      </c>
      <c r="E68" s="59" t="s">
        <v>208</v>
      </c>
      <c r="F68" s="3" t="s">
        <v>194</v>
      </c>
      <c r="G68" s="4" t="s">
        <v>133</v>
      </c>
      <c r="H68" s="4" t="s">
        <v>26</v>
      </c>
      <c r="I68" s="53" t="s">
        <v>1</v>
      </c>
      <c r="J68" s="4"/>
      <c r="K68" s="34"/>
      <c r="L68" s="36">
        <v>18944.97</v>
      </c>
      <c r="M68" s="4" t="s">
        <v>34</v>
      </c>
      <c r="N68" s="5" t="s">
        <v>186</v>
      </c>
      <c r="O68" s="60" t="s">
        <v>188</v>
      </c>
      <c r="P68" s="18"/>
    </row>
    <row r="69" spans="2:16" customFormat="1" ht="20.100000000000001" customHeight="1" x14ac:dyDescent="0.15">
      <c r="B69" s="15">
        <f t="shared" si="0"/>
        <v>65</v>
      </c>
      <c r="C69" s="50">
        <v>2024</v>
      </c>
      <c r="D69" s="23">
        <v>2024.8</v>
      </c>
      <c r="E69" s="59" t="s">
        <v>210</v>
      </c>
      <c r="F69" s="3" t="s">
        <v>195</v>
      </c>
      <c r="G69" s="4" t="s">
        <v>133</v>
      </c>
      <c r="H69" s="4" t="s">
        <v>26</v>
      </c>
      <c r="I69" s="53" t="s">
        <v>1</v>
      </c>
      <c r="J69" s="4">
        <v>2024.9</v>
      </c>
      <c r="K69" s="34"/>
      <c r="L69" s="36">
        <v>14989.92</v>
      </c>
      <c r="M69" s="4" t="s">
        <v>34</v>
      </c>
      <c r="N69" s="5" t="s">
        <v>22</v>
      </c>
      <c r="O69" s="7"/>
      <c r="P69" s="18"/>
    </row>
    <row r="70" spans="2:16" customFormat="1" ht="20.100000000000001" customHeight="1" x14ac:dyDescent="0.15">
      <c r="B70" s="15">
        <f t="shared" si="0"/>
        <v>66</v>
      </c>
      <c r="C70" s="50">
        <v>2024</v>
      </c>
      <c r="D70" s="23">
        <v>2024.8</v>
      </c>
      <c r="E70" s="59" t="s">
        <v>209</v>
      </c>
      <c r="F70" s="3" t="s">
        <v>196</v>
      </c>
      <c r="G70" s="4" t="s">
        <v>133</v>
      </c>
      <c r="H70" s="4" t="s">
        <v>26</v>
      </c>
      <c r="I70" s="53" t="s">
        <v>1</v>
      </c>
      <c r="J70" s="4">
        <v>2024.9</v>
      </c>
      <c r="K70" s="34"/>
      <c r="L70" s="36">
        <v>36640.339999999997</v>
      </c>
      <c r="M70" s="4" t="s">
        <v>34</v>
      </c>
      <c r="N70" s="5" t="s">
        <v>22</v>
      </c>
      <c r="O70" s="7"/>
      <c r="P70" s="18"/>
    </row>
    <row r="71" spans="2:16" customFormat="1" ht="20.100000000000001" customHeight="1" x14ac:dyDescent="0.15">
      <c r="B71" s="15">
        <f t="shared" si="0"/>
        <v>67</v>
      </c>
      <c r="C71" s="50">
        <v>2024</v>
      </c>
      <c r="D71" s="23">
        <v>2024.8</v>
      </c>
      <c r="E71" s="59" t="s">
        <v>211</v>
      </c>
      <c r="F71" s="3" t="s">
        <v>197</v>
      </c>
      <c r="G71" s="4" t="s">
        <v>133</v>
      </c>
      <c r="H71" s="4" t="s">
        <v>26</v>
      </c>
      <c r="I71" s="53" t="s">
        <v>1</v>
      </c>
      <c r="J71" s="4"/>
      <c r="K71" s="34"/>
      <c r="L71" s="36">
        <v>54506.29</v>
      </c>
      <c r="M71" s="4" t="s">
        <v>34</v>
      </c>
      <c r="N71" s="5" t="s">
        <v>22</v>
      </c>
      <c r="O71" s="7"/>
      <c r="P71" s="18"/>
    </row>
    <row r="72" spans="2:16" ht="20.100000000000001" customHeight="1" x14ac:dyDescent="0.15">
      <c r="B72" s="15">
        <f t="shared" si="0"/>
        <v>68</v>
      </c>
      <c r="C72" s="50">
        <v>2024</v>
      </c>
      <c r="D72" s="23">
        <v>202411</v>
      </c>
      <c r="E72" s="59" t="s">
        <v>201</v>
      </c>
      <c r="F72" s="3" t="s">
        <v>234</v>
      </c>
      <c r="G72" s="4" t="s">
        <v>133</v>
      </c>
      <c r="H72" s="4" t="s">
        <v>26</v>
      </c>
      <c r="I72" s="53" t="s">
        <v>69</v>
      </c>
      <c r="J72" s="4"/>
      <c r="K72" s="34"/>
      <c r="L72" s="36"/>
      <c r="M72" s="4" t="s">
        <v>58</v>
      </c>
      <c r="N72" s="5" t="s">
        <v>203</v>
      </c>
      <c r="O72" s="3"/>
      <c r="P72" s="16"/>
    </row>
    <row r="73" spans="2:16" ht="20.100000000000001" customHeight="1" x14ac:dyDescent="0.15">
      <c r="B73" s="15">
        <f t="shared" si="0"/>
        <v>69</v>
      </c>
      <c r="C73" s="50">
        <v>2024</v>
      </c>
      <c r="D73" s="23">
        <v>2024.11</v>
      </c>
      <c r="E73" s="59" t="s">
        <v>202</v>
      </c>
      <c r="F73" s="3" t="s">
        <v>212</v>
      </c>
      <c r="G73" s="4" t="s">
        <v>133</v>
      </c>
      <c r="H73" s="4" t="s">
        <v>26</v>
      </c>
      <c r="I73" s="53" t="s">
        <v>69</v>
      </c>
      <c r="J73" s="4"/>
      <c r="K73" s="34"/>
      <c r="L73" s="36"/>
      <c r="M73" s="4" t="s">
        <v>58</v>
      </c>
      <c r="N73" s="5" t="s">
        <v>203</v>
      </c>
      <c r="O73" s="3"/>
      <c r="P73" s="16"/>
    </row>
    <row r="74" spans="2:16" ht="20.100000000000001" customHeight="1" x14ac:dyDescent="0.15">
      <c r="B74" s="15">
        <f t="shared" si="0"/>
        <v>70</v>
      </c>
      <c r="C74" s="50">
        <v>2024</v>
      </c>
      <c r="D74" s="23">
        <v>2024.11</v>
      </c>
      <c r="E74" s="59" t="s">
        <v>204</v>
      </c>
      <c r="F74" s="3" t="s">
        <v>213</v>
      </c>
      <c r="G74" s="4" t="s">
        <v>133</v>
      </c>
      <c r="H74" s="4" t="s">
        <v>26</v>
      </c>
      <c r="I74" s="53" t="s">
        <v>69</v>
      </c>
      <c r="J74" s="4"/>
      <c r="K74" s="34"/>
      <c r="L74" s="36"/>
      <c r="M74" s="4" t="s">
        <v>58</v>
      </c>
      <c r="N74" s="5" t="s">
        <v>203</v>
      </c>
      <c r="O74" s="3"/>
      <c r="P74" s="16"/>
    </row>
    <row r="75" spans="2:16" ht="20.100000000000001" customHeight="1" x14ac:dyDescent="0.15">
      <c r="B75" s="15">
        <f t="shared" si="0"/>
        <v>71</v>
      </c>
      <c r="C75" s="50">
        <v>2024</v>
      </c>
      <c r="D75" s="23">
        <v>2024.11</v>
      </c>
      <c r="E75" s="59" t="s">
        <v>240</v>
      </c>
      <c r="F75" s="3" t="s">
        <v>214</v>
      </c>
      <c r="G75" s="4" t="s">
        <v>133</v>
      </c>
      <c r="H75" s="4" t="s">
        <v>26</v>
      </c>
      <c r="I75" s="53" t="s">
        <v>27</v>
      </c>
      <c r="J75" s="4"/>
      <c r="K75" s="34"/>
      <c r="L75" s="36"/>
      <c r="M75" s="4" t="s">
        <v>58</v>
      </c>
      <c r="N75" s="5" t="s">
        <v>203</v>
      </c>
      <c r="O75" s="3"/>
      <c r="P75" s="16"/>
    </row>
    <row r="76" spans="2:16" ht="20.100000000000001" customHeight="1" x14ac:dyDescent="0.15">
      <c r="B76" s="15">
        <f t="shared" si="0"/>
        <v>72</v>
      </c>
      <c r="C76" s="50">
        <v>2024</v>
      </c>
      <c r="D76" s="23">
        <v>2024.11</v>
      </c>
      <c r="E76" s="59" t="s">
        <v>223</v>
      </c>
      <c r="F76" s="3" t="s">
        <v>215</v>
      </c>
      <c r="G76" s="4" t="s">
        <v>130</v>
      </c>
      <c r="H76" s="4" t="s">
        <v>26</v>
      </c>
      <c r="I76" s="53" t="s">
        <v>135</v>
      </c>
      <c r="J76" s="4"/>
      <c r="K76" s="34">
        <v>450000</v>
      </c>
      <c r="L76" s="36">
        <v>410000</v>
      </c>
      <c r="M76" s="4" t="s">
        <v>58</v>
      </c>
      <c r="N76" s="5" t="s">
        <v>205</v>
      </c>
      <c r="O76" s="3"/>
      <c r="P76" s="16"/>
    </row>
    <row r="77" spans="2:16" ht="20.100000000000001" customHeight="1" x14ac:dyDescent="0.15">
      <c r="B77" s="15">
        <f t="shared" si="0"/>
        <v>73</v>
      </c>
      <c r="C77" s="23">
        <v>2024</v>
      </c>
      <c r="D77" s="23">
        <v>2024.12</v>
      </c>
      <c r="E77" s="62" t="s">
        <v>236</v>
      </c>
      <c r="F77" s="3" t="s">
        <v>225</v>
      </c>
      <c r="G77" s="4" t="s">
        <v>133</v>
      </c>
      <c r="H77" s="4" t="s">
        <v>26</v>
      </c>
      <c r="I77" s="53" t="s">
        <v>135</v>
      </c>
      <c r="J77" s="4"/>
      <c r="K77" s="34"/>
      <c r="L77" s="36"/>
      <c r="M77" s="4" t="s">
        <v>58</v>
      </c>
      <c r="N77" s="5" t="s">
        <v>205</v>
      </c>
      <c r="O77" s="3"/>
      <c r="P77" s="16"/>
    </row>
    <row r="78" spans="2:16" ht="20.100000000000001" customHeight="1" x14ac:dyDescent="0.15">
      <c r="B78" s="15">
        <f t="shared" si="0"/>
        <v>74</v>
      </c>
      <c r="C78" s="23">
        <v>2025</v>
      </c>
      <c r="D78" s="23">
        <v>2025.2</v>
      </c>
      <c r="E78" s="62" t="s">
        <v>242</v>
      </c>
      <c r="F78" s="3" t="s">
        <v>235</v>
      </c>
      <c r="G78" s="4" t="s">
        <v>133</v>
      </c>
      <c r="H78" s="4" t="s">
        <v>26</v>
      </c>
      <c r="I78" s="53" t="s">
        <v>98</v>
      </c>
      <c r="J78" s="4"/>
      <c r="K78" s="34">
        <v>3952.74</v>
      </c>
      <c r="L78" s="36">
        <v>3952.74</v>
      </c>
      <c r="M78" s="4" t="s">
        <v>58</v>
      </c>
      <c r="N78" s="5" t="s">
        <v>205</v>
      </c>
      <c r="O78" s="3"/>
      <c r="P78" s="16"/>
    </row>
    <row r="79" spans="2:16" ht="20.100000000000001" customHeight="1" x14ac:dyDescent="0.15">
      <c r="B79" s="15">
        <f t="shared" si="0"/>
        <v>75</v>
      </c>
      <c r="C79" s="23">
        <v>2025</v>
      </c>
      <c r="D79" s="23">
        <v>2025.2</v>
      </c>
      <c r="E79" s="62" t="s">
        <v>237</v>
      </c>
      <c r="F79" s="3" t="s">
        <v>226</v>
      </c>
      <c r="G79" s="4" t="s">
        <v>133</v>
      </c>
      <c r="H79" s="4" t="s">
        <v>26</v>
      </c>
      <c r="I79" s="53" t="s">
        <v>98</v>
      </c>
      <c r="J79" s="4"/>
      <c r="K79" s="34"/>
      <c r="L79" s="36"/>
      <c r="M79" s="4" t="s">
        <v>58</v>
      </c>
      <c r="N79" s="5" t="s">
        <v>205</v>
      </c>
      <c r="O79" s="3"/>
      <c r="P79" s="16"/>
    </row>
    <row r="80" spans="2:16" ht="20.100000000000001" customHeight="1" x14ac:dyDescent="0.15">
      <c r="B80" s="15">
        <f t="shared" si="0"/>
        <v>76</v>
      </c>
      <c r="C80" s="23">
        <v>2025</v>
      </c>
      <c r="D80" s="23">
        <v>2025.2</v>
      </c>
      <c r="E80" s="62" t="s">
        <v>238</v>
      </c>
      <c r="F80" s="3" t="s">
        <v>227</v>
      </c>
      <c r="G80" s="4" t="s">
        <v>133</v>
      </c>
      <c r="H80" s="4" t="s">
        <v>26</v>
      </c>
      <c r="I80" s="53" t="s">
        <v>98</v>
      </c>
      <c r="J80" s="4"/>
      <c r="K80" s="34"/>
      <c r="L80" s="36"/>
      <c r="M80" s="4" t="s">
        <v>58</v>
      </c>
      <c r="N80" s="5" t="s">
        <v>205</v>
      </c>
      <c r="O80" s="3" t="s">
        <v>258</v>
      </c>
      <c r="P80" s="16"/>
    </row>
    <row r="81" spans="2:16" ht="20.100000000000001" customHeight="1" x14ac:dyDescent="0.15">
      <c r="B81" s="15">
        <f t="shared" si="0"/>
        <v>77</v>
      </c>
      <c r="C81" s="23">
        <v>2025</v>
      </c>
      <c r="D81" s="23">
        <v>2025.2</v>
      </c>
      <c r="E81" s="62" t="s">
        <v>254</v>
      </c>
      <c r="F81" s="3" t="s">
        <v>228</v>
      </c>
      <c r="G81" s="4" t="s">
        <v>133</v>
      </c>
      <c r="H81" s="4" t="s">
        <v>26</v>
      </c>
      <c r="I81" s="53" t="s">
        <v>98</v>
      </c>
      <c r="J81" s="4"/>
      <c r="K81" s="34"/>
      <c r="L81" s="36"/>
      <c r="M81" s="4" t="s">
        <v>58</v>
      </c>
      <c r="N81" s="5" t="s">
        <v>205</v>
      </c>
      <c r="O81" s="3" t="s">
        <v>259</v>
      </c>
      <c r="P81" s="16"/>
    </row>
    <row r="82" spans="2:16" ht="20.100000000000001" customHeight="1" x14ac:dyDescent="0.15">
      <c r="B82" s="15">
        <f t="shared" si="0"/>
        <v>78</v>
      </c>
      <c r="C82" s="23">
        <v>2025</v>
      </c>
      <c r="D82" s="23">
        <v>2025.2</v>
      </c>
      <c r="E82" s="62" t="s">
        <v>255</v>
      </c>
      <c r="F82" s="3" t="s">
        <v>229</v>
      </c>
      <c r="G82" s="4" t="s">
        <v>133</v>
      </c>
      <c r="H82" s="4" t="s">
        <v>26</v>
      </c>
      <c r="I82" s="53" t="s">
        <v>98</v>
      </c>
      <c r="J82" s="4"/>
      <c r="K82" s="34"/>
      <c r="L82" s="36"/>
      <c r="M82" s="4" t="s">
        <v>58</v>
      </c>
      <c r="N82" s="5" t="s">
        <v>205</v>
      </c>
      <c r="O82" s="3"/>
      <c r="P82" s="16"/>
    </row>
    <row r="83" spans="2:16" ht="20.100000000000001" customHeight="1" x14ac:dyDescent="0.15">
      <c r="B83" s="15">
        <f t="shared" si="0"/>
        <v>79</v>
      </c>
      <c r="C83" s="23">
        <v>2025</v>
      </c>
      <c r="D83" s="23">
        <v>2025.2</v>
      </c>
      <c r="E83" s="3" t="s">
        <v>239</v>
      </c>
      <c r="F83" s="3" t="s">
        <v>230</v>
      </c>
      <c r="G83" s="4" t="s">
        <v>133</v>
      </c>
      <c r="H83" s="4" t="s">
        <v>26</v>
      </c>
      <c r="I83" s="53" t="s">
        <v>135</v>
      </c>
      <c r="J83" s="4"/>
      <c r="K83" s="34">
        <v>3000</v>
      </c>
      <c r="L83" s="36"/>
      <c r="M83" s="4" t="s">
        <v>58</v>
      </c>
      <c r="N83" s="5" t="s">
        <v>22</v>
      </c>
      <c r="O83" s="3"/>
      <c r="P83" s="16"/>
    </row>
    <row r="84" spans="2:16" ht="20.100000000000001" customHeight="1" x14ac:dyDescent="0.15">
      <c r="B84" s="15">
        <f t="shared" si="0"/>
        <v>80</v>
      </c>
      <c r="C84" s="23">
        <v>2025</v>
      </c>
      <c r="D84" s="23">
        <v>2025.3</v>
      </c>
      <c r="E84" s="3" t="s">
        <v>241</v>
      </c>
      <c r="F84" s="3" t="s">
        <v>243</v>
      </c>
      <c r="G84" s="4" t="s">
        <v>133</v>
      </c>
      <c r="H84" s="4" t="s">
        <v>26</v>
      </c>
      <c r="I84" s="53" t="s">
        <v>135</v>
      </c>
      <c r="J84" s="4"/>
      <c r="K84" s="34"/>
      <c r="L84" s="36"/>
      <c r="M84" s="4" t="s">
        <v>58</v>
      </c>
      <c r="N84" s="5" t="s">
        <v>22</v>
      </c>
      <c r="O84" s="3" t="s">
        <v>260</v>
      </c>
      <c r="P84" s="16"/>
    </row>
    <row r="85" spans="2:16" ht="20.100000000000001" customHeight="1" x14ac:dyDescent="0.15">
      <c r="B85" s="15">
        <f t="shared" si="0"/>
        <v>81</v>
      </c>
      <c r="C85" s="23">
        <v>2025</v>
      </c>
      <c r="D85" s="23">
        <v>2025.3</v>
      </c>
      <c r="E85" s="63" t="s">
        <v>253</v>
      </c>
      <c r="F85" s="61" t="s">
        <v>244</v>
      </c>
      <c r="G85" s="64" t="s">
        <v>26</v>
      </c>
      <c r="H85" s="4" t="s">
        <v>26</v>
      </c>
      <c r="I85" s="4" t="s">
        <v>98</v>
      </c>
      <c r="J85" s="4"/>
      <c r="K85" s="34"/>
      <c r="L85" s="64">
        <v>60000</v>
      </c>
      <c r="M85" s="4" t="s">
        <v>58</v>
      </c>
      <c r="N85" s="5" t="s">
        <v>22</v>
      </c>
      <c r="O85" s="3" t="s">
        <v>261</v>
      </c>
      <c r="P85" s="16"/>
    </row>
    <row r="86" spans="2:16" ht="20.100000000000001" customHeight="1" x14ac:dyDescent="0.15">
      <c r="B86" s="15">
        <f t="shared" si="0"/>
        <v>82</v>
      </c>
      <c r="C86" s="23">
        <v>2025</v>
      </c>
      <c r="D86" s="23">
        <v>2025.3</v>
      </c>
      <c r="E86" s="63" t="s">
        <v>245</v>
      </c>
      <c r="F86" s="61" t="s">
        <v>246</v>
      </c>
      <c r="G86" s="64" t="s">
        <v>26</v>
      </c>
      <c r="H86" s="4" t="s">
        <v>26</v>
      </c>
      <c r="I86" s="4" t="s">
        <v>98</v>
      </c>
      <c r="J86" s="4"/>
      <c r="K86" s="34"/>
      <c r="L86" s="64">
        <v>70000</v>
      </c>
      <c r="M86" s="4" t="s">
        <v>58</v>
      </c>
      <c r="N86" s="5" t="s">
        <v>22</v>
      </c>
      <c r="O86" s="3" t="s">
        <v>262</v>
      </c>
      <c r="P86" s="16"/>
    </row>
    <row r="87" spans="2:16" ht="20.100000000000001" customHeight="1" x14ac:dyDescent="0.15">
      <c r="B87" s="15">
        <f t="shared" si="0"/>
        <v>83</v>
      </c>
      <c r="C87" s="23">
        <v>2025</v>
      </c>
      <c r="D87" s="23">
        <v>2025.3</v>
      </c>
      <c r="E87" s="63" t="s">
        <v>247</v>
      </c>
      <c r="F87" s="61" t="s">
        <v>248</v>
      </c>
      <c r="G87" s="64" t="s">
        <v>26</v>
      </c>
      <c r="H87" s="4" t="s">
        <v>26</v>
      </c>
      <c r="I87" s="4" t="s">
        <v>98</v>
      </c>
      <c r="J87" s="4"/>
      <c r="K87" s="34"/>
      <c r="L87" s="64">
        <v>72000</v>
      </c>
      <c r="M87" s="4" t="s">
        <v>58</v>
      </c>
      <c r="N87" s="5" t="s">
        <v>22</v>
      </c>
      <c r="O87" s="3" t="s">
        <v>263</v>
      </c>
      <c r="P87" s="16"/>
    </row>
    <row r="88" spans="2:16" ht="20.100000000000001" customHeight="1" x14ac:dyDescent="0.15">
      <c r="B88" s="15">
        <f t="shared" si="0"/>
        <v>84</v>
      </c>
      <c r="C88" s="23">
        <v>2025</v>
      </c>
      <c r="D88" s="23">
        <v>2025.3</v>
      </c>
      <c r="E88" s="63" t="s">
        <v>249</v>
      </c>
      <c r="F88" s="61" t="s">
        <v>250</v>
      </c>
      <c r="G88" s="64" t="s">
        <v>26</v>
      </c>
      <c r="H88" s="4" t="s">
        <v>26</v>
      </c>
      <c r="I88" s="4" t="s">
        <v>98</v>
      </c>
      <c r="J88" s="4"/>
      <c r="K88" s="34"/>
      <c r="L88" s="64">
        <v>72000</v>
      </c>
      <c r="M88" s="4" t="s">
        <v>58</v>
      </c>
      <c r="N88" s="5" t="s">
        <v>22</v>
      </c>
      <c r="O88" s="3" t="s">
        <v>264</v>
      </c>
      <c r="P88" s="16"/>
    </row>
    <row r="89" spans="2:16" ht="20.100000000000001" customHeight="1" x14ac:dyDescent="0.15">
      <c r="B89" s="15">
        <f t="shared" si="0"/>
        <v>85</v>
      </c>
      <c r="C89" s="23">
        <v>2025</v>
      </c>
      <c r="D89" s="23">
        <v>2025.3</v>
      </c>
      <c r="E89" s="63" t="s">
        <v>251</v>
      </c>
      <c r="F89" s="61" t="s">
        <v>252</v>
      </c>
      <c r="G89" s="64" t="s">
        <v>26</v>
      </c>
      <c r="H89" s="4" t="s">
        <v>26</v>
      </c>
      <c r="I89" s="4" t="s">
        <v>98</v>
      </c>
      <c r="J89" s="4"/>
      <c r="K89" s="34"/>
      <c r="L89" s="64">
        <v>76000</v>
      </c>
      <c r="M89" s="4" t="s">
        <v>58</v>
      </c>
      <c r="N89" s="5" t="s">
        <v>22</v>
      </c>
      <c r="O89" s="3" t="s">
        <v>265</v>
      </c>
      <c r="P89" s="16"/>
    </row>
    <row r="90" spans="2:16" ht="20.100000000000001" customHeight="1" x14ac:dyDescent="0.15">
      <c r="B90" s="15">
        <f t="shared" ref="B90:B121" si="1">ROW()-4</f>
        <v>86</v>
      </c>
      <c r="C90" s="23">
        <v>2025</v>
      </c>
      <c r="D90" s="23">
        <v>2025.5</v>
      </c>
      <c r="E90" s="3" t="s">
        <v>256</v>
      </c>
      <c r="F90" s="3"/>
      <c r="G90" s="4" t="s">
        <v>130</v>
      </c>
      <c r="H90" s="4" t="s">
        <v>37</v>
      </c>
      <c r="I90" s="4" t="s">
        <v>27</v>
      </c>
      <c r="J90" s="4"/>
      <c r="K90" s="34"/>
      <c r="L90" s="36">
        <v>85000</v>
      </c>
      <c r="M90" s="4" t="s">
        <v>58</v>
      </c>
      <c r="N90" s="4" t="s">
        <v>21</v>
      </c>
      <c r="O90" s="3"/>
      <c r="P90" s="16"/>
    </row>
    <row r="91" spans="2:16" ht="20.100000000000001" customHeight="1" x14ac:dyDescent="0.15">
      <c r="B91" s="15">
        <f t="shared" si="1"/>
        <v>87</v>
      </c>
      <c r="C91" s="23"/>
      <c r="D91" s="23"/>
      <c r="E91" s="3"/>
      <c r="F91" s="3"/>
      <c r="G91" s="4"/>
      <c r="H91" s="4"/>
      <c r="I91" s="4"/>
      <c r="J91" s="4"/>
      <c r="K91" s="34"/>
      <c r="L91" s="36"/>
      <c r="M91" s="4"/>
      <c r="N91" s="4"/>
      <c r="O91" s="3"/>
      <c r="P91" s="16"/>
    </row>
    <row r="92" spans="2:16" ht="20.100000000000001" customHeight="1" x14ac:dyDescent="0.15">
      <c r="B92" s="15">
        <f t="shared" si="1"/>
        <v>88</v>
      </c>
      <c r="C92" s="55"/>
      <c r="D92" s="55"/>
      <c r="E92" s="21"/>
      <c r="F92" s="21"/>
      <c r="G92" s="52"/>
      <c r="H92" s="52"/>
      <c r="I92" s="52"/>
      <c r="J92" s="52"/>
      <c r="K92" s="56"/>
      <c r="L92" s="57"/>
      <c r="M92" s="52"/>
      <c r="N92" s="52"/>
      <c r="O92" s="21"/>
      <c r="P92" s="67"/>
    </row>
    <row r="93" spans="2:16" ht="20.100000000000001" customHeight="1" x14ac:dyDescent="0.15">
      <c r="B93" s="15">
        <f t="shared" si="1"/>
        <v>89</v>
      </c>
      <c r="C93" s="55"/>
      <c r="D93" s="55"/>
      <c r="E93" s="21"/>
      <c r="F93" s="21"/>
      <c r="G93" s="52"/>
      <c r="H93" s="52"/>
      <c r="I93" s="52"/>
      <c r="J93" s="52"/>
      <c r="K93" s="56"/>
      <c r="L93" s="57"/>
      <c r="M93" s="52"/>
      <c r="N93" s="52"/>
      <c r="O93" s="21"/>
      <c r="P93" s="67"/>
    </row>
    <row r="94" spans="2:16" ht="20.100000000000001" customHeight="1" x14ac:dyDescent="0.15">
      <c r="B94" s="15">
        <f t="shared" si="1"/>
        <v>90</v>
      </c>
      <c r="C94" s="55"/>
      <c r="D94" s="55"/>
      <c r="E94" s="21"/>
      <c r="F94" s="21"/>
      <c r="G94" s="52"/>
      <c r="H94" s="52"/>
      <c r="I94" s="52"/>
      <c r="J94" s="52"/>
      <c r="K94" s="56"/>
      <c r="L94" s="57"/>
      <c r="M94" s="52"/>
      <c r="N94" s="52"/>
      <c r="O94" s="21"/>
      <c r="P94" s="67"/>
    </row>
    <row r="95" spans="2:16" ht="20.100000000000001" customHeight="1" x14ac:dyDescent="0.15">
      <c r="B95" s="15">
        <f t="shared" si="1"/>
        <v>91</v>
      </c>
      <c r="C95" s="55"/>
      <c r="D95" s="55"/>
      <c r="E95" s="21"/>
      <c r="F95" s="21"/>
      <c r="G95" s="52"/>
      <c r="H95" s="52"/>
      <c r="I95" s="52"/>
      <c r="J95" s="52"/>
      <c r="K95" s="56"/>
      <c r="L95" s="57"/>
      <c r="M95" s="52"/>
      <c r="N95" s="52"/>
      <c r="O95" s="21"/>
      <c r="P95" s="67"/>
    </row>
    <row r="96" spans="2:16" ht="20.100000000000001" customHeight="1" x14ac:dyDescent="0.15">
      <c r="B96" s="15">
        <f t="shared" si="1"/>
        <v>92</v>
      </c>
      <c r="C96" s="55"/>
      <c r="D96" s="55"/>
      <c r="E96" s="21"/>
      <c r="F96" s="21"/>
      <c r="G96" s="52"/>
      <c r="H96" s="52"/>
      <c r="I96" s="52"/>
      <c r="J96" s="52"/>
      <c r="K96" s="56"/>
      <c r="L96" s="57"/>
      <c r="M96" s="52"/>
      <c r="N96" s="52"/>
      <c r="O96" s="21"/>
      <c r="P96" s="67"/>
    </row>
    <row r="97" spans="2:16" ht="20.100000000000001" customHeight="1" x14ac:dyDescent="0.15">
      <c r="B97" s="15">
        <f t="shared" si="1"/>
        <v>93</v>
      </c>
      <c r="C97" s="55"/>
      <c r="D97" s="55"/>
      <c r="E97" s="21"/>
      <c r="F97" s="21"/>
      <c r="G97" s="52"/>
      <c r="H97" s="52"/>
      <c r="I97" s="52"/>
      <c r="J97" s="52"/>
      <c r="K97" s="56"/>
      <c r="L97" s="57"/>
      <c r="M97" s="52"/>
      <c r="N97" s="52"/>
      <c r="O97" s="21"/>
      <c r="P97" s="67"/>
    </row>
    <row r="98" spans="2:16" ht="20.100000000000001" customHeight="1" x14ac:dyDescent="0.15">
      <c r="B98" s="15">
        <f t="shared" si="1"/>
        <v>94</v>
      </c>
      <c r="C98" s="55"/>
      <c r="D98" s="55"/>
      <c r="E98" s="21"/>
      <c r="F98" s="21"/>
      <c r="G98" s="52"/>
      <c r="H98" s="52"/>
      <c r="I98" s="52"/>
      <c r="J98" s="52"/>
      <c r="K98" s="56"/>
      <c r="L98" s="57"/>
      <c r="M98" s="52"/>
      <c r="N98" s="52"/>
      <c r="O98" s="21"/>
      <c r="P98" s="67"/>
    </row>
    <row r="99" spans="2:16" ht="20.100000000000001" customHeight="1" x14ac:dyDescent="0.15">
      <c r="B99" s="15">
        <f t="shared" si="1"/>
        <v>95</v>
      </c>
      <c r="C99" s="55"/>
      <c r="D99" s="55"/>
      <c r="E99" s="21"/>
      <c r="F99" s="21"/>
      <c r="G99" s="52"/>
      <c r="H99" s="52"/>
      <c r="I99" s="52"/>
      <c r="J99" s="52"/>
      <c r="K99" s="56"/>
      <c r="L99" s="57"/>
      <c r="M99" s="52"/>
      <c r="N99" s="52"/>
      <c r="O99" s="21"/>
      <c r="P99" s="67"/>
    </row>
    <row r="100" spans="2:16" ht="20.100000000000001" customHeight="1" x14ac:dyDescent="0.15">
      <c r="B100" s="15">
        <f t="shared" si="1"/>
        <v>96</v>
      </c>
      <c r="C100" s="55"/>
      <c r="D100" s="55"/>
      <c r="E100" s="21"/>
      <c r="F100" s="21"/>
      <c r="G100" s="52"/>
      <c r="H100" s="52"/>
      <c r="I100" s="52"/>
      <c r="J100" s="52"/>
      <c r="K100" s="56"/>
      <c r="L100" s="57"/>
      <c r="M100" s="52"/>
      <c r="N100" s="52"/>
      <c r="O100" s="21"/>
      <c r="P100" s="67"/>
    </row>
    <row r="101" spans="2:16" ht="20.100000000000001" customHeight="1" x14ac:dyDescent="0.15">
      <c r="B101" s="15">
        <f t="shared" si="1"/>
        <v>97</v>
      </c>
      <c r="C101" s="55"/>
      <c r="D101" s="55"/>
      <c r="E101" s="21"/>
      <c r="F101" s="21"/>
      <c r="G101" s="52"/>
      <c r="H101" s="52"/>
      <c r="I101" s="52"/>
      <c r="J101" s="52"/>
      <c r="K101" s="56"/>
      <c r="L101" s="57"/>
      <c r="M101" s="52"/>
      <c r="N101" s="52"/>
      <c r="O101" s="21"/>
      <c r="P101" s="67"/>
    </row>
    <row r="102" spans="2:16" ht="20.100000000000001" customHeight="1" x14ac:dyDescent="0.15">
      <c r="B102" s="15">
        <f t="shared" si="1"/>
        <v>98</v>
      </c>
      <c r="C102" s="55"/>
      <c r="D102" s="55"/>
      <c r="E102" s="21"/>
      <c r="F102" s="21"/>
      <c r="G102" s="52"/>
      <c r="H102" s="52"/>
      <c r="I102" s="52"/>
      <c r="J102" s="52"/>
      <c r="K102" s="56"/>
      <c r="L102" s="57"/>
      <c r="M102" s="52"/>
      <c r="N102" s="52"/>
      <c r="O102" s="21"/>
      <c r="P102" s="67"/>
    </row>
    <row r="103" spans="2:16" ht="20.100000000000001" customHeight="1" x14ac:dyDescent="0.15">
      <c r="B103" s="15">
        <f t="shared" si="1"/>
        <v>99</v>
      </c>
      <c r="C103" s="55"/>
      <c r="D103" s="55"/>
      <c r="E103" s="21"/>
      <c r="F103" s="21"/>
      <c r="G103" s="52"/>
      <c r="H103" s="52"/>
      <c r="I103" s="52"/>
      <c r="J103" s="52"/>
      <c r="K103" s="56"/>
      <c r="L103" s="57"/>
      <c r="M103" s="52"/>
      <c r="N103" s="52"/>
      <c r="O103" s="21"/>
      <c r="P103" s="67"/>
    </row>
    <row r="104" spans="2:16" ht="20.100000000000001" customHeight="1" x14ac:dyDescent="0.15">
      <c r="B104" s="15">
        <f t="shared" si="1"/>
        <v>100</v>
      </c>
      <c r="C104" s="55"/>
      <c r="D104" s="55"/>
      <c r="E104" s="21"/>
      <c r="F104" s="21"/>
      <c r="G104" s="52"/>
      <c r="H104" s="52"/>
      <c r="I104" s="52"/>
      <c r="J104" s="52"/>
      <c r="K104" s="56"/>
      <c r="L104" s="57"/>
      <c r="M104" s="52"/>
      <c r="N104" s="52"/>
      <c r="O104" s="21"/>
      <c r="P104" s="67"/>
    </row>
    <row r="105" spans="2:16" ht="20.100000000000001" customHeight="1" x14ac:dyDescent="0.15">
      <c r="B105" s="15">
        <f t="shared" si="1"/>
        <v>101</v>
      </c>
      <c r="C105" s="55"/>
      <c r="D105" s="55"/>
      <c r="E105" s="21"/>
      <c r="F105" s="21"/>
      <c r="G105" s="52"/>
      <c r="H105" s="52"/>
      <c r="I105" s="52"/>
      <c r="J105" s="52"/>
      <c r="K105" s="56"/>
      <c r="L105" s="57"/>
      <c r="M105" s="52"/>
      <c r="N105" s="52"/>
      <c r="O105" s="21"/>
      <c r="P105" s="67"/>
    </row>
    <row r="106" spans="2:16" ht="20.100000000000001" customHeight="1" x14ac:dyDescent="0.15">
      <c r="B106" s="15">
        <f t="shared" si="1"/>
        <v>102</v>
      </c>
      <c r="C106" s="55"/>
      <c r="D106" s="55"/>
      <c r="E106" s="21"/>
      <c r="F106" s="21"/>
      <c r="G106" s="52"/>
      <c r="H106" s="52"/>
      <c r="I106" s="52"/>
      <c r="J106" s="52"/>
      <c r="K106" s="56"/>
      <c r="L106" s="57"/>
      <c r="M106" s="52"/>
      <c r="N106" s="52"/>
      <c r="O106" s="21"/>
      <c r="P106" s="67"/>
    </row>
    <row r="107" spans="2:16" ht="20.100000000000001" customHeight="1" x14ac:dyDescent="0.15">
      <c r="B107" s="15">
        <f t="shared" si="1"/>
        <v>103</v>
      </c>
      <c r="C107" s="55"/>
      <c r="D107" s="55"/>
      <c r="E107" s="21"/>
      <c r="F107" s="21"/>
      <c r="G107" s="52"/>
      <c r="H107" s="52"/>
      <c r="I107" s="52"/>
      <c r="J107" s="52"/>
      <c r="K107" s="56"/>
      <c r="L107" s="57"/>
      <c r="M107" s="52"/>
      <c r="N107" s="52"/>
      <c r="O107" s="21"/>
      <c r="P107" s="67"/>
    </row>
    <row r="108" spans="2:16" ht="20.100000000000001" customHeight="1" x14ac:dyDescent="0.15">
      <c r="B108" s="15">
        <f t="shared" si="1"/>
        <v>104</v>
      </c>
      <c r="C108" s="55"/>
      <c r="D108" s="55"/>
      <c r="E108" s="21"/>
      <c r="F108" s="21"/>
      <c r="G108" s="52"/>
      <c r="H108" s="52"/>
      <c r="I108" s="52"/>
      <c r="J108" s="52"/>
      <c r="K108" s="56"/>
      <c r="L108" s="57"/>
      <c r="M108" s="52"/>
      <c r="N108" s="52"/>
      <c r="O108" s="21"/>
      <c r="P108" s="67"/>
    </row>
    <row r="109" spans="2:16" ht="20.100000000000001" customHeight="1" x14ac:dyDescent="0.15">
      <c r="B109" s="15">
        <f t="shared" si="1"/>
        <v>105</v>
      </c>
      <c r="C109" s="55"/>
      <c r="D109" s="55"/>
      <c r="E109" s="21"/>
      <c r="F109" s="21"/>
      <c r="G109" s="52"/>
      <c r="H109" s="52"/>
      <c r="I109" s="52"/>
      <c r="J109" s="52"/>
      <c r="K109" s="56"/>
      <c r="L109" s="57"/>
      <c r="M109" s="52"/>
      <c r="N109" s="52"/>
      <c r="O109" s="21"/>
      <c r="P109" s="67"/>
    </row>
    <row r="110" spans="2:16" ht="20.100000000000001" customHeight="1" x14ac:dyDescent="0.15">
      <c r="B110" s="15">
        <f t="shared" si="1"/>
        <v>106</v>
      </c>
      <c r="C110" s="55"/>
      <c r="D110" s="55"/>
      <c r="E110" s="21"/>
      <c r="F110" s="21"/>
      <c r="G110" s="52"/>
      <c r="H110" s="52"/>
      <c r="I110" s="52"/>
      <c r="J110" s="52"/>
      <c r="K110" s="56"/>
      <c r="L110" s="57"/>
      <c r="M110" s="52"/>
      <c r="N110" s="52"/>
      <c r="O110" s="21"/>
      <c r="P110" s="67"/>
    </row>
    <row r="111" spans="2:16" ht="20.100000000000001" customHeight="1" x14ac:dyDescent="0.15">
      <c r="B111" s="15">
        <f t="shared" si="1"/>
        <v>107</v>
      </c>
      <c r="C111" s="55"/>
      <c r="D111" s="55"/>
      <c r="E111" s="21"/>
      <c r="F111" s="21"/>
      <c r="G111" s="52"/>
      <c r="H111" s="52"/>
      <c r="I111" s="52"/>
      <c r="J111" s="52"/>
      <c r="K111" s="56"/>
      <c r="L111" s="57"/>
      <c r="M111" s="52"/>
      <c r="N111" s="52"/>
      <c r="O111" s="21"/>
      <c r="P111" s="67"/>
    </row>
    <row r="112" spans="2:16" ht="20.100000000000001" customHeight="1" x14ac:dyDescent="0.15">
      <c r="B112" s="15">
        <f t="shared" si="1"/>
        <v>108</v>
      </c>
      <c r="C112" s="55"/>
      <c r="D112" s="55"/>
      <c r="E112" s="21"/>
      <c r="F112" s="21"/>
      <c r="G112" s="52"/>
      <c r="H112" s="52"/>
      <c r="I112" s="52"/>
      <c r="J112" s="52"/>
      <c r="K112" s="56"/>
      <c r="L112" s="57"/>
      <c r="M112" s="52"/>
      <c r="N112" s="52"/>
      <c r="O112" s="21"/>
      <c r="P112" s="67"/>
    </row>
    <row r="113" spans="2:16" ht="20.100000000000001" customHeight="1" x14ac:dyDescent="0.15">
      <c r="B113" s="15">
        <f t="shared" si="1"/>
        <v>109</v>
      </c>
      <c r="C113" s="55"/>
      <c r="D113" s="55"/>
      <c r="E113" s="21"/>
      <c r="F113" s="21"/>
      <c r="G113" s="52"/>
      <c r="H113" s="52"/>
      <c r="I113" s="52"/>
      <c r="J113" s="52"/>
      <c r="K113" s="56"/>
      <c r="L113" s="57"/>
      <c r="M113" s="52"/>
      <c r="N113" s="52"/>
      <c r="O113" s="21"/>
      <c r="P113" s="67"/>
    </row>
    <row r="114" spans="2:16" ht="20.100000000000001" customHeight="1" x14ac:dyDescent="0.15">
      <c r="B114" s="15">
        <f t="shared" si="1"/>
        <v>110</v>
      </c>
      <c r="C114" s="55"/>
      <c r="D114" s="55"/>
      <c r="E114" s="21"/>
      <c r="F114" s="21"/>
      <c r="G114" s="52"/>
      <c r="H114" s="52"/>
      <c r="I114" s="52"/>
      <c r="J114" s="52"/>
      <c r="K114" s="56"/>
      <c r="L114" s="57"/>
      <c r="M114" s="52"/>
      <c r="N114" s="52"/>
      <c r="O114" s="21"/>
      <c r="P114" s="67"/>
    </row>
    <row r="115" spans="2:16" ht="20.100000000000001" customHeight="1" x14ac:dyDescent="0.15">
      <c r="B115" s="15">
        <f t="shared" si="1"/>
        <v>111</v>
      </c>
      <c r="C115" s="55"/>
      <c r="D115" s="55"/>
      <c r="E115" s="21"/>
      <c r="F115" s="21"/>
      <c r="G115" s="52"/>
      <c r="H115" s="52"/>
      <c r="I115" s="52"/>
      <c r="J115" s="52"/>
      <c r="K115" s="56"/>
      <c r="L115" s="57"/>
      <c r="M115" s="52"/>
      <c r="N115" s="52"/>
      <c r="O115" s="21"/>
      <c r="P115" s="67"/>
    </row>
    <row r="116" spans="2:16" ht="20.100000000000001" customHeight="1" x14ac:dyDescent="0.15">
      <c r="B116" s="15">
        <f t="shared" si="1"/>
        <v>112</v>
      </c>
      <c r="C116" s="55"/>
      <c r="D116" s="55"/>
      <c r="E116" s="21"/>
      <c r="F116" s="21"/>
      <c r="G116" s="52"/>
      <c r="H116" s="52"/>
      <c r="I116" s="52"/>
      <c r="J116" s="52"/>
      <c r="K116" s="56"/>
      <c r="L116" s="57"/>
      <c r="M116" s="52"/>
      <c r="N116" s="52"/>
      <c r="O116" s="21"/>
      <c r="P116" s="67"/>
    </row>
    <row r="117" spans="2:16" ht="20.100000000000001" customHeight="1" x14ac:dyDescent="0.15">
      <c r="B117" s="15">
        <f t="shared" si="1"/>
        <v>113</v>
      </c>
      <c r="C117" s="55"/>
      <c r="D117" s="55"/>
      <c r="E117" s="21"/>
      <c r="F117" s="21"/>
      <c r="G117" s="52"/>
      <c r="H117" s="52"/>
      <c r="I117" s="52"/>
      <c r="J117" s="52"/>
      <c r="K117" s="56"/>
      <c r="L117" s="57"/>
      <c r="M117" s="52"/>
      <c r="N117" s="52"/>
      <c r="O117" s="21"/>
      <c r="P117" s="67"/>
    </row>
    <row r="118" spans="2:16" ht="20.100000000000001" customHeight="1" x14ac:dyDescent="0.15">
      <c r="B118" s="15">
        <f t="shared" si="1"/>
        <v>114</v>
      </c>
      <c r="C118" s="55"/>
      <c r="D118" s="55"/>
      <c r="E118" s="21"/>
      <c r="F118" s="21"/>
      <c r="G118" s="52"/>
      <c r="H118" s="52"/>
      <c r="I118" s="52"/>
      <c r="J118" s="52"/>
      <c r="K118" s="56"/>
      <c r="L118" s="57"/>
      <c r="M118" s="52"/>
      <c r="N118" s="52"/>
      <c r="O118" s="21"/>
      <c r="P118" s="67"/>
    </row>
    <row r="119" spans="2:16" ht="20.100000000000001" customHeight="1" x14ac:dyDescent="0.15">
      <c r="B119" s="15">
        <f t="shared" si="1"/>
        <v>115</v>
      </c>
      <c r="C119" s="55"/>
      <c r="D119" s="55"/>
      <c r="E119" s="21"/>
      <c r="F119" s="21"/>
      <c r="G119" s="52"/>
      <c r="H119" s="52"/>
      <c r="I119" s="52"/>
      <c r="J119" s="52"/>
      <c r="K119" s="56"/>
      <c r="L119" s="57"/>
      <c r="M119" s="52"/>
      <c r="N119" s="52"/>
      <c r="O119" s="21"/>
      <c r="P119" s="67"/>
    </row>
    <row r="120" spans="2:16" ht="20.100000000000001" customHeight="1" x14ac:dyDescent="0.15">
      <c r="B120" s="15">
        <f t="shared" si="1"/>
        <v>116</v>
      </c>
      <c r="C120" s="55"/>
      <c r="D120" s="55"/>
      <c r="E120" s="21"/>
      <c r="F120" s="21"/>
      <c r="G120" s="52"/>
      <c r="H120" s="52"/>
      <c r="I120" s="52"/>
      <c r="J120" s="52"/>
      <c r="K120" s="56"/>
      <c r="L120" s="57"/>
      <c r="M120" s="52"/>
      <c r="N120" s="52"/>
      <c r="O120" s="21"/>
      <c r="P120" s="67"/>
    </row>
    <row r="121" spans="2:16" ht="20.100000000000001" customHeight="1" thickBot="1" x14ac:dyDescent="0.2">
      <c r="B121" s="15">
        <f t="shared" si="1"/>
        <v>117</v>
      </c>
      <c r="C121" s="24"/>
      <c r="D121" s="24"/>
      <c r="E121" s="20"/>
      <c r="F121" s="20"/>
      <c r="G121" s="19"/>
      <c r="H121" s="19"/>
      <c r="I121" s="19"/>
      <c r="J121" s="19"/>
      <c r="K121" s="35"/>
      <c r="L121" s="37"/>
      <c r="M121" s="19"/>
      <c r="N121" s="19"/>
      <c r="O121" s="20"/>
      <c r="P121" s="68"/>
    </row>
    <row r="122" spans="2:16" ht="20.100000000000001" customHeight="1" thickTop="1" x14ac:dyDescent="0.15"/>
  </sheetData>
  <autoFilter ref="B3:P121" xr:uid="{00000000-0009-0000-0000-000000000000}"/>
  <mergeCells count="1">
    <mergeCell ref="O2:P2"/>
  </mergeCells>
  <phoneticPr fontId="1" type="noConversion"/>
  <conditionalFormatting sqref="G4">
    <cfRule type="cellIs" dxfId="22" priority="91" operator="equal">
      <formula>"非标外购"</formula>
    </cfRule>
    <cfRule type="cellIs" dxfId="21" priority="92" operator="equal">
      <formula>"非标自制"</formula>
    </cfRule>
    <cfRule type="cellIs" dxfId="20" priority="93" operator="equal">
      <formula>"标准外购"</formula>
    </cfRule>
  </conditionalFormatting>
  <conditionalFormatting sqref="K56">
    <cfRule type="expression" dxfId="19" priority="28">
      <formula>$I56="完成"</formula>
    </cfRule>
    <cfRule type="expression" dxfId="18" priority="29">
      <formula>$I56="设备验收"</formula>
    </cfRule>
    <cfRule type="expression" dxfId="17" priority="30">
      <formula>$I56="设备接收"</formula>
    </cfRule>
    <cfRule type="expression" dxfId="16" priority="31">
      <formula>$I56="预验收/组装调试"</formula>
    </cfRule>
    <cfRule type="expression" dxfId="15" priority="32">
      <formula>$I56="设备采购"</formula>
    </cfRule>
  </conditionalFormatting>
  <conditionalFormatting sqref="L5:L30 L90:L121">
    <cfRule type="expression" dxfId="14" priority="276">
      <formula>$I5="预验收/组装调试"</formula>
    </cfRule>
    <cfRule type="expression" dxfId="13" priority="280">
      <formula>$I5="设备采购"</formula>
    </cfRule>
  </conditionalFormatting>
  <conditionalFormatting sqref="L5:L84">
    <cfRule type="expression" dxfId="12" priority="53">
      <formula>$I5="完成"</formula>
    </cfRule>
    <cfRule type="expression" dxfId="11" priority="54">
      <formula>$I5="设备验收"</formula>
    </cfRule>
    <cfRule type="expression" dxfId="10" priority="55">
      <formula>$I5="设备接收"</formula>
    </cfRule>
  </conditionalFormatting>
  <conditionalFormatting sqref="L31">
    <cfRule type="expression" dxfId="9" priority="154">
      <formula>$I31="预验收"</formula>
    </cfRule>
  </conditionalFormatting>
  <conditionalFormatting sqref="L31:L58">
    <cfRule type="expression" dxfId="8" priority="155">
      <formula>$I31="设备采购"</formula>
    </cfRule>
  </conditionalFormatting>
  <conditionalFormatting sqref="L32:L84">
    <cfRule type="expression" dxfId="7" priority="56">
      <formula>$I32="预验收/组装调试"</formula>
    </cfRule>
  </conditionalFormatting>
  <conditionalFormatting sqref="L59:L84">
    <cfRule type="expression" dxfId="6" priority="57">
      <formula>$I59="设备采购"</formula>
    </cfRule>
  </conditionalFormatting>
  <conditionalFormatting sqref="L90:L121">
    <cfRule type="expression" dxfId="5" priority="273">
      <formula>$I90="完成"</formula>
    </cfRule>
    <cfRule type="expression" dxfId="4" priority="274">
      <formula>$I90="设备验收"</formula>
    </cfRule>
    <cfRule type="expression" dxfId="3" priority="275">
      <formula>$I90="设备接收"</formula>
    </cfRule>
  </conditionalFormatting>
  <conditionalFormatting sqref="M1">
    <cfRule type="cellIs" dxfId="2" priority="272" operator="equal">
      <formula>"暂停"</formula>
    </cfRule>
  </conditionalFormatting>
  <conditionalFormatting sqref="M1:M1048576">
    <cfRule type="cellIs" dxfId="1" priority="46" operator="equal">
      <formula>"已完成"</formula>
    </cfRule>
  </conditionalFormatting>
  <conditionalFormatting sqref="M3:M1048576">
    <cfRule type="cellIs" dxfId="0" priority="52" operator="equal">
      <formula>"暂停"</formula>
    </cfRule>
  </conditionalFormatting>
  <dataValidations count="5">
    <dataValidation type="list" allowBlank="1" showInputMessage="1" showErrorMessage="1" sqref="M1 M5:M1048576" xr:uid="{00000000-0002-0000-0000-000000000000}">
      <formula1>"未启动,进行中,暂停,已完成"</formula1>
    </dataValidation>
    <dataValidation type="list" allowBlank="1" showInputMessage="1" showErrorMessage="1" sqref="O122:O1048576 O1" xr:uid="{00000000-0002-0000-0000-000001000000}">
      <formula1>"√,/"</formula1>
    </dataValidation>
    <dataValidation type="list" allowBlank="1" showInputMessage="1" showErrorMessage="1" sqref="H1:H2 H5:H1048576 G85:G89" xr:uid="{00000000-0002-0000-0000-000002000000}">
      <formula1>"新增,改善,复制"</formula1>
    </dataValidation>
    <dataValidation type="list" allowBlank="1" showInputMessage="1" showErrorMessage="1" sqref="G1:G2 G4:G84 G90:G1048576" xr:uid="{00000000-0002-0000-0000-000003000000}">
      <formula1>"非标外购,非标自制,标准外购"</formula1>
    </dataValidation>
    <dataValidation type="list" allowBlank="1" showInputMessage="1" showErrorMessage="1" sqref="I1:I1048576" xr:uid="{00000000-0002-0000-0000-000004000000}">
      <formula1>"项目需求,立项评审,方案评审,设备采购,预验收/组装调试,设备验收,完成"</formula1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2"/>
  <sheetViews>
    <sheetView workbookViewId="0">
      <selection activeCell="C21" sqref="C21"/>
    </sheetView>
  </sheetViews>
  <sheetFormatPr defaultRowHeight="13.5" x14ac:dyDescent="0.15"/>
  <cols>
    <col min="1" max="1" width="6.625" style="1" customWidth="1"/>
    <col min="2" max="2" width="16.75" style="1" customWidth="1"/>
    <col min="3" max="3" width="9.75" style="1" customWidth="1"/>
    <col min="4" max="11" width="10.5" style="1" bestFit="1" customWidth="1"/>
    <col min="12" max="12" width="34.875" style="1" customWidth="1"/>
    <col min="13" max="16384" width="9" style="1"/>
  </cols>
  <sheetData>
    <row r="1" spans="1:12" ht="21.75" customHeight="1" x14ac:dyDescent="0.15">
      <c r="A1" s="76" t="s">
        <v>111</v>
      </c>
      <c r="B1" s="76" t="s">
        <v>102</v>
      </c>
      <c r="C1" s="76" t="s">
        <v>112</v>
      </c>
      <c r="D1" s="73" t="s">
        <v>0</v>
      </c>
      <c r="E1" s="74"/>
      <c r="F1" s="74"/>
      <c r="G1" s="74"/>
      <c r="H1" s="74"/>
      <c r="I1" s="74"/>
      <c r="J1" s="74"/>
      <c r="K1" s="75"/>
    </row>
    <row r="2" spans="1:12" ht="21.75" customHeight="1" x14ac:dyDescent="0.15">
      <c r="A2" s="76"/>
      <c r="B2" s="76"/>
      <c r="C2" s="76"/>
      <c r="D2" s="4" t="s">
        <v>103</v>
      </c>
      <c r="E2" s="4" t="s">
        <v>104</v>
      </c>
      <c r="F2" s="4" t="s">
        <v>105</v>
      </c>
      <c r="G2" s="4" t="s">
        <v>106</v>
      </c>
      <c r="H2" s="4" t="s">
        <v>107</v>
      </c>
      <c r="I2" s="4" t="s">
        <v>108</v>
      </c>
      <c r="J2" s="4" t="s">
        <v>109</v>
      </c>
      <c r="K2" s="4" t="s">
        <v>110</v>
      </c>
      <c r="L2" s="1" t="s">
        <v>117</v>
      </c>
    </row>
    <row r="3" spans="1:12" ht="21.75" customHeight="1" x14ac:dyDescent="0.15">
      <c r="A3" s="71">
        <v>1</v>
      </c>
      <c r="B3" s="71" t="s">
        <v>115</v>
      </c>
      <c r="C3" s="4" t="s">
        <v>113</v>
      </c>
      <c r="D3" s="45">
        <v>45345</v>
      </c>
      <c r="E3" s="45">
        <v>45363</v>
      </c>
      <c r="F3" s="45">
        <v>45373</v>
      </c>
      <c r="G3" s="45">
        <v>45402</v>
      </c>
      <c r="H3" s="45">
        <v>45444</v>
      </c>
      <c r="I3" s="45">
        <v>45453</v>
      </c>
      <c r="J3" s="45">
        <v>45469</v>
      </c>
      <c r="K3" s="45">
        <v>45484</v>
      </c>
      <c r="L3" s="46">
        <f t="shared" ref="L3:L8" si="0">COUNTA(D3:K3)/8</f>
        <v>1</v>
      </c>
    </row>
    <row r="4" spans="1:12" ht="21.75" customHeight="1" x14ac:dyDescent="0.15">
      <c r="A4" s="72"/>
      <c r="B4" s="72"/>
      <c r="C4" s="4" t="s">
        <v>114</v>
      </c>
      <c r="D4" s="45">
        <v>45348</v>
      </c>
      <c r="E4" s="45">
        <v>45366</v>
      </c>
      <c r="F4" s="4"/>
      <c r="G4" s="4"/>
      <c r="H4" s="4"/>
      <c r="I4" s="4"/>
      <c r="J4" s="4"/>
      <c r="K4" s="4"/>
      <c r="L4" s="46">
        <f t="shared" si="0"/>
        <v>0.25</v>
      </c>
    </row>
    <row r="5" spans="1:12" ht="21.75" customHeight="1" x14ac:dyDescent="0.15">
      <c r="A5" s="71">
        <v>2</v>
      </c>
      <c r="B5" s="71" t="s">
        <v>116</v>
      </c>
      <c r="C5" s="4" t="s">
        <v>113</v>
      </c>
      <c r="D5" s="45">
        <v>45345</v>
      </c>
      <c r="E5" s="45">
        <v>45363</v>
      </c>
      <c r="F5" s="45">
        <v>45373</v>
      </c>
      <c r="G5" s="45">
        <v>45402</v>
      </c>
      <c r="H5" s="45">
        <v>45444</v>
      </c>
      <c r="I5" s="45">
        <v>45453</v>
      </c>
      <c r="J5" s="45">
        <v>45469</v>
      </c>
      <c r="K5" s="45">
        <v>45484</v>
      </c>
      <c r="L5" s="46">
        <f t="shared" si="0"/>
        <v>1</v>
      </c>
    </row>
    <row r="6" spans="1:12" ht="21.75" customHeight="1" x14ac:dyDescent="0.15">
      <c r="A6" s="72"/>
      <c r="B6" s="72"/>
      <c r="C6" s="4" t="s">
        <v>114</v>
      </c>
      <c r="D6" s="45">
        <v>45348</v>
      </c>
      <c r="E6" s="45">
        <v>45366</v>
      </c>
      <c r="F6" s="45">
        <v>45373</v>
      </c>
      <c r="G6" s="4"/>
      <c r="H6" s="4"/>
      <c r="I6" s="4"/>
      <c r="J6" s="4"/>
      <c r="K6" s="4"/>
      <c r="L6" s="46">
        <f t="shared" si="0"/>
        <v>0.375</v>
      </c>
    </row>
    <row r="7" spans="1:12" ht="21.75" customHeight="1" x14ac:dyDescent="0.15">
      <c r="A7" s="71">
        <v>3</v>
      </c>
      <c r="B7" s="71" t="s">
        <v>118</v>
      </c>
      <c r="C7" s="4" t="s">
        <v>113</v>
      </c>
      <c r="D7" s="45">
        <v>45345</v>
      </c>
      <c r="E7" s="45">
        <v>45363</v>
      </c>
      <c r="F7" s="45">
        <v>45373</v>
      </c>
      <c r="G7" s="45">
        <v>45402</v>
      </c>
      <c r="H7" s="45">
        <v>45444</v>
      </c>
      <c r="I7" s="45">
        <v>45453</v>
      </c>
      <c r="J7" s="45">
        <v>45469</v>
      </c>
      <c r="K7" s="45">
        <v>45484</v>
      </c>
      <c r="L7" s="46">
        <f t="shared" si="0"/>
        <v>1</v>
      </c>
    </row>
    <row r="8" spans="1:12" ht="21.75" customHeight="1" x14ac:dyDescent="0.15">
      <c r="A8" s="72"/>
      <c r="B8" s="72"/>
      <c r="C8" s="4" t="s">
        <v>114</v>
      </c>
      <c r="D8" s="45">
        <v>45348</v>
      </c>
      <c r="E8" s="45">
        <v>45366</v>
      </c>
      <c r="F8" s="45">
        <v>45373</v>
      </c>
      <c r="G8" s="45">
        <v>45402</v>
      </c>
      <c r="H8" s="4"/>
      <c r="I8" s="4"/>
      <c r="J8" s="4"/>
      <c r="K8" s="4"/>
      <c r="L8" s="46">
        <f t="shared" si="0"/>
        <v>0.5</v>
      </c>
    </row>
    <row r="9" spans="1:12" ht="21.75" customHeight="1" x14ac:dyDescent="0.15">
      <c r="A9" s="4"/>
      <c r="B9" s="4"/>
      <c r="C9" s="4"/>
      <c r="D9" s="4"/>
      <c r="E9" s="4"/>
      <c r="F9" s="4"/>
      <c r="G9" s="4"/>
      <c r="H9" s="4"/>
      <c r="I9" s="4"/>
      <c r="J9" s="4"/>
      <c r="K9" s="4"/>
    </row>
    <row r="10" spans="1:12" ht="21.75" customHeight="1" x14ac:dyDescent="0.1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</row>
    <row r="11" spans="1:12" ht="21.75" customHeight="1" x14ac:dyDescent="0.1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</row>
    <row r="12" spans="1:12" ht="21.75" customHeight="1" x14ac:dyDescent="0.1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</row>
    <row r="13" spans="1:12" ht="21.75" customHeight="1" x14ac:dyDescent="0.1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</row>
    <row r="14" spans="1:12" ht="21.75" customHeight="1" x14ac:dyDescent="0.1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1:12" ht="21.75" customHeight="1" x14ac:dyDescent="0.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2" ht="21.75" customHeight="1" x14ac:dyDescent="0.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1" ht="21.75" customHeight="1" x14ac:dyDescent="0.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</row>
    <row r="18" spans="1:11" ht="21.75" customHeight="1" x14ac:dyDescent="0.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pans="1:11" ht="21.75" customHeight="1" x14ac:dyDescent="0.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1:11" ht="21.75" customHeight="1" x14ac:dyDescent="0.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</row>
    <row r="21" spans="1:11" ht="21.75" customHeight="1" x14ac:dyDescent="0.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</row>
    <row r="22" spans="1:11" ht="21.75" customHeight="1" x14ac:dyDescent="0.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</row>
  </sheetData>
  <mergeCells count="10">
    <mergeCell ref="B7:B8"/>
    <mergeCell ref="A7:A8"/>
    <mergeCell ref="A5:A6"/>
    <mergeCell ref="B5:B6"/>
    <mergeCell ref="D1:K1"/>
    <mergeCell ref="C1:C2"/>
    <mergeCell ref="B1:B2"/>
    <mergeCell ref="A1:A2"/>
    <mergeCell ref="B3:B4"/>
    <mergeCell ref="A3:A4"/>
  </mergeCells>
  <phoneticPr fontId="1" type="noConversion"/>
  <conditionalFormatting sqref="L3:L22">
    <cfRule type="dataBar" priority="1">
      <dataBar>
        <cfvo type="num" val="0"/>
        <cfvo type="num" val="1"/>
        <color rgb="FFFF0000"/>
      </dataBar>
      <extLst>
        <ext xmlns:x14="http://schemas.microsoft.com/office/spreadsheetml/2009/9/main" uri="{B025F937-C7B1-47D3-B67F-A62EFF666E3E}">
          <x14:id>{92783C47-B71F-4C18-B91D-3E38ACF8FB79}</x14:id>
        </ext>
      </extLst>
    </cfRule>
  </conditionalFormatting>
  <pageMargins left="0.7" right="0.7" top="0.75" bottom="0.75" header="0.3" footer="0.3"/>
  <pageSetup paperSize="9" orientation="portrait" horizontalDpi="0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2783C47-B71F-4C18-B91D-3E38ACF8FB79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L3:L22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2022年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2025-10-19T08:07:59Z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b4151c9b-462c-47ba-afe7-41e5d060cb58</vt:lpwstr>
  </property>
</Properties>
</file>