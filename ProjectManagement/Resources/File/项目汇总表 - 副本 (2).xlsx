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13_ncr:1_{D8FB0D35-58E2-43A2-AD8B-0DCA122AF63E}" xr6:coauthVersionLast="47" xr6:coauthVersionMax="47" xr10:uidLastSave="{00000000-0000-0000-0000-000000000000}"/>
  <bookViews>
    <workbookView xWindow="-870" yWindow="1650" windowWidth="25590" windowHeight="11220" xr2:uid="{00000000-000D-0000-FFFF-FFFF00000000}"/>
  </bookViews>
  <sheets>
    <sheet name="2022年" sheetId="1" r:id="rId1"/>
    <sheet name="Sheet1" sheetId="2" r:id="rId2"/>
  </sheets>
  <definedNames>
    <definedName name="_xlnm._FilterDatabase" localSheetId="0" hidden="1">'2022年'!$B$3:$AE$121</definedName>
  </definedNames>
  <calcPr calcId="191029"/>
</workbook>
</file>

<file path=xl/calcChain.xml><?xml version="1.0" encoding="utf-8"?>
<calcChain xmlns="http://schemas.openxmlformats.org/spreadsheetml/2006/main">
  <c r="B60" i="1" l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58" i="1"/>
  <c r="B59" i="1"/>
  <c r="B91" i="1" l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80" i="1"/>
  <c r="B81" i="1"/>
  <c r="B82" i="1"/>
  <c r="B83" i="1"/>
  <c r="B84" i="1"/>
  <c r="B85" i="1"/>
  <c r="B86" i="1"/>
  <c r="B87" i="1"/>
  <c r="B88" i="1"/>
  <c r="B89" i="1"/>
  <c r="B90" i="1"/>
  <c r="B121" i="1"/>
  <c r="B5" i="1"/>
  <c r="L8" i="2" l="1"/>
  <c r="L7" i="2"/>
  <c r="L6" i="2"/>
  <c r="L5" i="2"/>
  <c r="L4" i="2"/>
  <c r="L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3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1.点检卡
2.一级保养
3.二级保养
4.履历卡
5.易损件清单</t>
        </r>
      </text>
    </comment>
    <comment ref="E6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cone模组玻璃管锥镜平移设备</t>
        </r>
      </text>
    </comment>
    <comment ref="E8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W13" authorId="0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厂家提供纸质说明书</t>
        </r>
      </text>
    </comment>
    <comment ref="E17" authorId="0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总价格包含供料系统</t>
        </r>
      </text>
    </comment>
    <comment ref="E18" authorId="0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总价包含供料系统</t>
        </r>
      </text>
    </comment>
    <comment ref="E22" authorId="0" shapeId="0" xr:uid="{00000000-0006-0000-00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DWRF01外壳螺丝供料机
通用三轴螺丝机平台</t>
        </r>
      </text>
    </comment>
    <comment ref="E25" authorId="0" shapeId="0" xr:uid="{00000000-0006-0000-00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27" authorId="0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0" authorId="0" shapeId="0" xr:uid="{00000000-0006-0000-00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1" authorId="0" shapeId="0" xr:uid="{00000000-0006-0000-00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2" authorId="0" shapeId="0" xr:uid="{00000000-0006-0000-00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5" authorId="0" shapeId="0" xr:uid="{00000000-0006-0000-00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7" authorId="0" shapeId="0" xr:uid="{00000000-0006-0000-00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M37" authorId="0" shapeId="0" xr:uid="{00000000-0006-0000-00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预计6-7月开始启动开发</t>
        </r>
      </text>
    </comment>
    <comment ref="E41" authorId="0" shapeId="0" xr:uid="{00000000-0006-0000-00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2" authorId="0" shapeId="0" xr:uid="{00000000-0006-0000-00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4" authorId="0" shapeId="0" xr:uid="{00000000-0006-0000-00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5" authorId="0" shapeId="0" xr:uid="{00000000-0006-0000-00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6" authorId="0" shapeId="0" xr:uid="{00000000-0006-0000-00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7" authorId="0" shapeId="0" xr:uid="{00000000-0006-0000-00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8" authorId="0" shapeId="0" xr:uid="{00000000-0006-0000-00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9" authorId="0" shapeId="0" xr:uid="{00000000-0006-0000-00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0" authorId="0" shapeId="0" xr:uid="{00000000-0006-0000-00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1" authorId="0" shapeId="0" xr:uid="{00000000-0006-0000-0000-00001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3" authorId="0" shapeId="0" xr:uid="{00000000-0006-0000-0000-00001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4" authorId="0" shapeId="0" xr:uid="{00000000-0006-0000-0000-00001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5" authorId="0" shapeId="0" xr:uid="{00000000-0006-0000-0000-00001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M55" authorId="0" shapeId="0" xr:uid="{00000000-0006-0000-0000-00001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预计6-7月开始启动开发</t>
        </r>
      </text>
    </comment>
    <comment ref="E56" authorId="0" shapeId="0" xr:uid="{00000000-0006-0000-0000-00001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8" authorId="0" shapeId="0" xr:uid="{00000000-0006-0000-0000-00001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9" authorId="0" shapeId="0" xr:uid="{00000000-0006-0000-0000-00002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0" authorId="0" shapeId="0" xr:uid="{00000000-0006-0000-0000-00002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7" authorId="0" shapeId="0" xr:uid="{00000000-0006-0000-0000-00002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8" authorId="0" shapeId="0" xr:uid="{00000000-0006-0000-0000-00002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9" authorId="0" shapeId="0" xr:uid="{00000000-0006-0000-0000-00002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0" authorId="0" shapeId="0" xr:uid="{00000000-0006-0000-0000-00002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1" authorId="0" shapeId="0" xr:uid="{00000000-0006-0000-0000-00002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2" authorId="0" shapeId="0" xr:uid="{00000000-0006-0000-0000-00002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3" authorId="0" shapeId="0" xr:uid="{00000000-0006-0000-0000-00002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4" authorId="0" shapeId="0" xr:uid="{00000000-0006-0000-0000-00002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6" authorId="0" shapeId="0" xr:uid="{00000000-0006-0000-0000-00002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7" authorId="0" shapeId="0" xr:uid="{00000000-0006-0000-0000-00002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8" authorId="0" shapeId="0" xr:uid="{00000000-0006-0000-0000-00002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
</t>
        </r>
      </text>
    </comment>
    <comment ref="E79" authorId="0" shapeId="0" xr:uid="{00000000-0006-0000-0000-00002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0" authorId="0" shapeId="0" xr:uid="{00000000-0006-0000-0000-00002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1" authorId="0" shapeId="0" xr:uid="{00000000-0006-0000-0000-00002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2" authorId="0" shapeId="0" xr:uid="{00000000-0006-0000-0000-00003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3" authorId="0" shapeId="0" xr:uid="{00000000-0006-0000-0000-00003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</commentList>
</comments>
</file>

<file path=xl/sharedStrings.xml><?xml version="1.0" encoding="utf-8"?>
<sst xmlns="http://schemas.openxmlformats.org/spreadsheetml/2006/main" count="1275" uniqueCount="393">
  <si>
    <t>序号</t>
  </si>
  <si>
    <t>项目编号</t>
  </si>
  <si>
    <t>项目阶段</t>
    <phoneticPr fontId="1" type="noConversion"/>
  </si>
  <si>
    <t>预算费用</t>
  </si>
  <si>
    <t>实际费用</t>
  </si>
  <si>
    <t>完成进度</t>
  </si>
  <si>
    <t>项目
负责人</t>
    <phoneticPr fontId="1" type="noConversion"/>
  </si>
  <si>
    <t>备注</t>
  </si>
  <si>
    <t>完成</t>
  </si>
  <si>
    <t>HDGC2022001</t>
    <phoneticPr fontId="1" type="noConversion"/>
  </si>
  <si>
    <t>HDGC2022002</t>
  </si>
  <si>
    <t>摆体自动打机米螺丝设备</t>
    <phoneticPr fontId="1" type="noConversion"/>
  </si>
  <si>
    <t>HDGC2022003</t>
  </si>
  <si>
    <t>HDGC2022004</t>
  </si>
  <si>
    <t>HDGC2022005</t>
  </si>
  <si>
    <t>粗调微调寿命测试设备</t>
  </si>
  <si>
    <t>HDGC2022006</t>
  </si>
  <si>
    <t>HDGC2022007</t>
  </si>
  <si>
    <t>HDGC2022008</t>
  </si>
  <si>
    <t>HDGC2022009</t>
  </si>
  <si>
    <t>模组自动压LD设备</t>
    <phoneticPr fontId="1" type="noConversion"/>
  </si>
  <si>
    <t>HDGC2022010</t>
  </si>
  <si>
    <t>HDGC2022011</t>
  </si>
  <si>
    <t>HDGC2022012</t>
  </si>
  <si>
    <t>HDGC2022013</t>
  </si>
  <si>
    <t>HDGC2022014</t>
  </si>
  <si>
    <t>HDGC2022015</t>
  </si>
  <si>
    <t>HDGC2022016</t>
  </si>
  <si>
    <t>朱成绪</t>
    <phoneticPr fontId="1" type="noConversion"/>
  </si>
  <si>
    <t>董鑫</t>
    <phoneticPr fontId="1" type="noConversion"/>
  </si>
  <si>
    <t>√</t>
  </si>
  <si>
    <t>YHPYJ-20220627001</t>
    <phoneticPr fontId="1" type="noConversion"/>
  </si>
  <si>
    <t>YHPYJ-20220819001</t>
    <phoneticPr fontId="1" type="noConversion"/>
  </si>
  <si>
    <t>YHPYJ-20220606003</t>
    <phoneticPr fontId="1" type="noConversion"/>
  </si>
  <si>
    <t>YHPYJ-20220422002</t>
    <phoneticPr fontId="1" type="noConversion"/>
  </si>
  <si>
    <t>HD-2304-088</t>
    <phoneticPr fontId="1" type="noConversion"/>
  </si>
  <si>
    <t>HD-5601-028</t>
    <phoneticPr fontId="1" type="noConversion"/>
  </si>
  <si>
    <t>HD-3215-263</t>
    <phoneticPr fontId="1" type="noConversion"/>
  </si>
  <si>
    <t>OA采购
申请单号</t>
    <phoneticPr fontId="1" type="noConversion"/>
  </si>
  <si>
    <t>OA领用
申请单号</t>
    <phoneticPr fontId="1" type="noConversion"/>
  </si>
  <si>
    <t>新增</t>
  </si>
  <si>
    <t>资产编号</t>
    <phoneticPr fontId="1" type="noConversion"/>
  </si>
  <si>
    <t>09
开箱点收
记录单</t>
    <phoneticPr fontId="1" type="noConversion"/>
  </si>
  <si>
    <t>设备采购</t>
  </si>
  <si>
    <t>改善</t>
  </si>
  <si>
    <t>/</t>
  </si>
  <si>
    <t>MK L型支架自动点胶机</t>
    <phoneticPr fontId="1" type="noConversion"/>
  </si>
  <si>
    <t>MK L型支架自动打螺丝机</t>
    <phoneticPr fontId="1" type="noConversion"/>
  </si>
  <si>
    <t>微变量校准设备</t>
    <phoneticPr fontId="1" type="noConversion"/>
  </si>
  <si>
    <t>HD-3101-4343</t>
    <phoneticPr fontId="1" type="noConversion"/>
  </si>
  <si>
    <t>摆体UV固化设备</t>
    <phoneticPr fontId="1" type="noConversion"/>
  </si>
  <si>
    <t>已完成</t>
  </si>
  <si>
    <t>YHPYJ-20221020001</t>
    <phoneticPr fontId="1" type="noConversion"/>
  </si>
  <si>
    <t>YHPYJ-20220905001</t>
    <phoneticPr fontId="1" type="noConversion"/>
  </si>
  <si>
    <t>地板仪DWRF01窗玻璃自动点胶设备</t>
    <phoneticPr fontId="1" type="noConversion"/>
  </si>
  <si>
    <t>项目需求</t>
  </si>
  <si>
    <t>复制</t>
  </si>
  <si>
    <t>YHPYJ-20221026001</t>
    <phoneticPr fontId="1" type="noConversion"/>
  </si>
  <si>
    <t>密封胶点胶设备</t>
    <phoneticPr fontId="1" type="noConversion"/>
  </si>
  <si>
    <t>HD-3215-261</t>
    <phoneticPr fontId="1" type="noConversion"/>
  </si>
  <si>
    <t>HD-3204-592</t>
    <phoneticPr fontId="1" type="noConversion"/>
  </si>
  <si>
    <t>YHPYJ-20221031002</t>
    <phoneticPr fontId="1" type="noConversion"/>
  </si>
  <si>
    <t>HD-3215-266</t>
    <phoneticPr fontId="1" type="noConversion"/>
  </si>
  <si>
    <t>HD-3215-267</t>
    <phoneticPr fontId="1" type="noConversion"/>
  </si>
  <si>
    <t>YHPYJ-20221101001</t>
    <phoneticPr fontId="1" type="noConversion"/>
  </si>
  <si>
    <t>YHPYJ-20221101001</t>
    <phoneticPr fontId="1" type="noConversion"/>
  </si>
  <si>
    <t>窗罩锁螺丝点胶设备</t>
    <phoneticPr fontId="1" type="noConversion"/>
  </si>
  <si>
    <t>HDGC2022017</t>
  </si>
  <si>
    <t>HDGC2022018</t>
  </si>
  <si>
    <t>HDGC2022019</t>
  </si>
  <si>
    <t>HDGC2022020</t>
    <phoneticPr fontId="1" type="noConversion"/>
  </si>
  <si>
    <t>HDGC2022021</t>
  </si>
  <si>
    <t>HDGC2022022</t>
  </si>
  <si>
    <t>HDGC2022023</t>
  </si>
  <si>
    <t>暂停</t>
  </si>
  <si>
    <t>Hilti整机报警电压自动切换设备</t>
    <phoneticPr fontId="1" type="noConversion"/>
  </si>
  <si>
    <t>Hilti整机光功率测试设备</t>
    <phoneticPr fontId="1" type="noConversion"/>
  </si>
  <si>
    <t>ZCQG-20221008002</t>
    <phoneticPr fontId="1" type="noConversion"/>
  </si>
  <si>
    <t xml:space="preserve">	ZCQG-20221026002</t>
    <phoneticPr fontId="1" type="noConversion"/>
  </si>
  <si>
    <t>ZCQG-20220804002</t>
    <phoneticPr fontId="1" type="noConversion"/>
  </si>
  <si>
    <t xml:space="preserve">	ZCQG-20220701002</t>
    <phoneticPr fontId="1" type="noConversion"/>
  </si>
  <si>
    <t xml:space="preserve">	ZCQG-20220613002</t>
    <phoneticPr fontId="1" type="noConversion"/>
  </si>
  <si>
    <t xml:space="preserve">	ZCQG-20220125001</t>
    <phoneticPr fontId="1" type="noConversion"/>
  </si>
  <si>
    <t xml:space="preserve">	ZCQG-20211202005</t>
    <phoneticPr fontId="1" type="noConversion"/>
  </si>
  <si>
    <t xml:space="preserve">	ZCQG-20211202004</t>
    <phoneticPr fontId="1" type="noConversion"/>
  </si>
  <si>
    <t>ZCQG-20211012003</t>
    <phoneticPr fontId="1" type="noConversion"/>
  </si>
  <si>
    <t>ZCQG-20220407001</t>
    <phoneticPr fontId="1" type="noConversion"/>
  </si>
  <si>
    <t>A1030外壳自动打螺机设备（通用三轴螺丝机平台）</t>
    <phoneticPr fontId="1" type="noConversion"/>
  </si>
  <si>
    <t>A1030自动点胶机设备（通用三轴点胶平台）</t>
    <phoneticPr fontId="1" type="noConversion"/>
  </si>
  <si>
    <t>地板仪DWRF01外壳自动打螺丝设备</t>
    <phoneticPr fontId="1" type="noConversion"/>
  </si>
  <si>
    <t>海葵摆体UV固化设备</t>
    <phoneticPr fontId="1" type="noConversion"/>
  </si>
  <si>
    <t>进行中</t>
  </si>
  <si>
    <t>HD-3106-044</t>
    <phoneticPr fontId="1" type="noConversion"/>
  </si>
  <si>
    <t>YHPYJ-20230109001</t>
    <phoneticPr fontId="1" type="noConversion"/>
  </si>
  <si>
    <t>设备接收</t>
  </si>
  <si>
    <t>高低温在线设备</t>
    <phoneticPr fontId="1" type="noConversion"/>
  </si>
  <si>
    <t>HDGC2022024</t>
    <phoneticPr fontId="1" type="noConversion"/>
  </si>
  <si>
    <t>YHPYJ-20230111001</t>
    <phoneticPr fontId="1" type="noConversion"/>
  </si>
  <si>
    <t>HD-3101-4371</t>
    <phoneticPr fontId="1" type="noConversion"/>
  </si>
  <si>
    <t xml:space="preserve">ZCQG-20221114001 </t>
    <phoneticPr fontId="1" type="noConversion"/>
  </si>
  <si>
    <t xml:space="preserve">ZCQG-20221111001 </t>
    <phoneticPr fontId="1" type="noConversion"/>
  </si>
  <si>
    <t>ZCQG-20221014001</t>
    <phoneticPr fontId="1" type="noConversion"/>
  </si>
  <si>
    <t xml:space="preserve">GZYS20211206001 </t>
    <phoneticPr fontId="1" type="noConversion"/>
  </si>
  <si>
    <t>GZYS20211102001</t>
    <phoneticPr fontId="1" type="noConversion"/>
  </si>
  <si>
    <t>ZCQG-20221013001</t>
    <phoneticPr fontId="1" type="noConversion"/>
  </si>
  <si>
    <t>年份</t>
    <phoneticPr fontId="1" type="noConversion"/>
  </si>
  <si>
    <t>HDGC2022025</t>
  </si>
  <si>
    <t>HD-5106-103</t>
    <phoneticPr fontId="1" type="noConversion"/>
  </si>
  <si>
    <t xml:space="preserve">ZCQG-20221024001 </t>
    <phoneticPr fontId="1" type="noConversion"/>
  </si>
  <si>
    <t>2022—2023</t>
  </si>
  <si>
    <t>2022—2023</t>
    <phoneticPr fontId="1" type="noConversion"/>
  </si>
  <si>
    <t>朱成绪</t>
    <phoneticPr fontId="1" type="noConversion"/>
  </si>
  <si>
    <t>工程设备项目汇总</t>
    <phoneticPr fontId="1" type="noConversion"/>
  </si>
  <si>
    <t>方案评审</t>
  </si>
  <si>
    <t>董鑫</t>
    <phoneticPr fontId="1" type="noConversion"/>
  </si>
  <si>
    <t>未启动</t>
  </si>
  <si>
    <t>五点模组自动校准设备</t>
    <phoneticPr fontId="1" type="noConversion"/>
  </si>
  <si>
    <t>移动式光管系统</t>
    <phoneticPr fontId="1" type="noConversion"/>
  </si>
  <si>
    <t>线质量检测系统</t>
    <phoneticPr fontId="1" type="noConversion"/>
  </si>
  <si>
    <t>余阳</t>
    <phoneticPr fontId="1" type="noConversion"/>
  </si>
  <si>
    <t>HDGC2023001</t>
    <phoneticPr fontId="1" type="noConversion"/>
  </si>
  <si>
    <t>HDGC2023003</t>
  </si>
  <si>
    <t>HDGC2023004</t>
  </si>
  <si>
    <t>HDGC2023005</t>
  </si>
  <si>
    <t>HDGC2023007</t>
  </si>
  <si>
    <t>HDGC2023008</t>
  </si>
  <si>
    <t>HDGC2023009</t>
  </si>
  <si>
    <t>朱成绪</t>
    <phoneticPr fontId="1" type="noConversion"/>
  </si>
  <si>
    <t>董鑫</t>
    <phoneticPr fontId="1" type="noConversion"/>
  </si>
  <si>
    <t>包装ccd防错检测设备</t>
    <phoneticPr fontId="1" type="noConversion"/>
  </si>
  <si>
    <t>HD-2403-054</t>
    <phoneticPr fontId="1" type="noConversion"/>
  </si>
  <si>
    <t>包装ccd防错检测设备</t>
    <phoneticPr fontId="1" type="noConversion"/>
  </si>
  <si>
    <t>HD-3106-043</t>
    <phoneticPr fontId="1" type="noConversion"/>
  </si>
  <si>
    <t>HD-2304-313</t>
    <phoneticPr fontId="1" type="noConversion"/>
  </si>
  <si>
    <t>YHPYJ-20230515002</t>
    <phoneticPr fontId="1" type="noConversion"/>
  </si>
  <si>
    <t>YHPYJ-20230407006</t>
    <phoneticPr fontId="1" type="noConversion"/>
  </si>
  <si>
    <t>HD-3215-283</t>
    <phoneticPr fontId="1" type="noConversion"/>
  </si>
  <si>
    <t>防尘套清洗设备（超声波清洗设备）</t>
    <phoneticPr fontId="1" type="noConversion"/>
  </si>
  <si>
    <t>YHPYJ-20230630001</t>
    <phoneticPr fontId="1" type="noConversion"/>
  </si>
  <si>
    <t>YHPYJ-20220829001</t>
    <phoneticPr fontId="1" type="noConversion"/>
  </si>
  <si>
    <t>HD-3215-269</t>
    <phoneticPr fontId="1" type="noConversion"/>
  </si>
  <si>
    <t>HD-3215-281
HD-3215-279</t>
    <phoneticPr fontId="1" type="noConversion"/>
  </si>
  <si>
    <t>通用三轴螺丝机平台</t>
    <phoneticPr fontId="1" type="noConversion"/>
  </si>
  <si>
    <t>YHPYJ-20230515001
YHPYJ-20230712004</t>
    <phoneticPr fontId="1" type="noConversion"/>
  </si>
  <si>
    <t>ZCSBYS-20230411001</t>
    <phoneticPr fontId="1" type="noConversion"/>
  </si>
  <si>
    <t>采购月份</t>
    <phoneticPr fontId="1" type="noConversion"/>
  </si>
  <si>
    <t>坡度检测设备</t>
    <phoneticPr fontId="1" type="noConversion"/>
  </si>
  <si>
    <t>微变量校准设备</t>
    <phoneticPr fontId="1" type="noConversion"/>
  </si>
  <si>
    <t>HDGC2023011</t>
    <phoneticPr fontId="1" type="noConversion"/>
  </si>
  <si>
    <t>ZCQG-20230904003</t>
    <phoneticPr fontId="1" type="noConversion"/>
  </si>
  <si>
    <t>ZCQG-20230519001</t>
    <phoneticPr fontId="1" type="noConversion"/>
  </si>
  <si>
    <t>缺视频</t>
    <phoneticPr fontId="1" type="noConversion"/>
  </si>
  <si>
    <t>设备验收</t>
  </si>
  <si>
    <t>HD-2304-312</t>
    <phoneticPr fontId="1" type="noConversion"/>
  </si>
  <si>
    <t>AA验证设备</t>
    <phoneticPr fontId="1" type="noConversion"/>
  </si>
  <si>
    <t>HDGC2023012</t>
  </si>
  <si>
    <t>项目名称</t>
    <phoneticPr fontId="1" type="noConversion"/>
  </si>
  <si>
    <t>项目需求</t>
    <phoneticPr fontId="1" type="noConversion"/>
  </si>
  <si>
    <t>立项评审</t>
    <phoneticPr fontId="1" type="noConversion"/>
  </si>
  <si>
    <t>方案评审</t>
    <phoneticPr fontId="1" type="noConversion"/>
  </si>
  <si>
    <t>设备采购</t>
    <phoneticPr fontId="1" type="noConversion"/>
  </si>
  <si>
    <t>预验收</t>
    <phoneticPr fontId="1" type="noConversion"/>
  </si>
  <si>
    <t>设备接收</t>
    <phoneticPr fontId="1" type="noConversion"/>
  </si>
  <si>
    <t>设备验收</t>
    <phoneticPr fontId="1" type="noConversion"/>
  </si>
  <si>
    <t>完成</t>
    <phoneticPr fontId="1" type="noConversion"/>
  </si>
  <si>
    <t>序号</t>
    <phoneticPr fontId="1" type="noConversion"/>
  </si>
  <si>
    <t>完成时间</t>
    <phoneticPr fontId="1" type="noConversion"/>
  </si>
  <si>
    <t>计划</t>
    <phoneticPr fontId="1" type="noConversion"/>
  </si>
  <si>
    <t>实际</t>
    <phoneticPr fontId="1" type="noConversion"/>
  </si>
  <si>
    <t>A</t>
    <phoneticPr fontId="1" type="noConversion"/>
  </si>
  <si>
    <t>B</t>
    <phoneticPr fontId="1" type="noConversion"/>
  </si>
  <si>
    <t>进度条</t>
    <phoneticPr fontId="1" type="noConversion"/>
  </si>
  <si>
    <t>C</t>
    <phoneticPr fontId="1" type="noConversion"/>
  </si>
  <si>
    <t xml:space="preserve">ZCQG-20230613001 </t>
    <phoneticPr fontId="1" type="noConversion"/>
  </si>
  <si>
    <t>2023-2024</t>
    <phoneticPr fontId="1" type="noConversion"/>
  </si>
  <si>
    <t>2.03.6</t>
    <phoneticPr fontId="1" type="noConversion"/>
  </si>
  <si>
    <t>HD-3106-215</t>
    <phoneticPr fontId="1" type="noConversion"/>
  </si>
  <si>
    <t>LD筛选设备</t>
    <phoneticPr fontId="1" type="noConversion"/>
  </si>
  <si>
    <t>朱成绪</t>
    <phoneticPr fontId="1" type="noConversion"/>
  </si>
  <si>
    <t>HDGC2024001</t>
    <phoneticPr fontId="1" type="noConversion"/>
  </si>
  <si>
    <t>HDGC2024002</t>
  </si>
  <si>
    <t>HDGC2024004</t>
  </si>
  <si>
    <t>HDGC2024005</t>
  </si>
  <si>
    <t>HDGC2024007</t>
  </si>
  <si>
    <t>HDGC2024008</t>
  </si>
  <si>
    <t>HDGC2024010</t>
  </si>
  <si>
    <t>每个阶段结束必须以邮件方式把文件表单发给李香</t>
    <phoneticPr fontId="1" type="noConversion"/>
  </si>
  <si>
    <t>余阳</t>
    <phoneticPr fontId="1" type="noConversion"/>
  </si>
  <si>
    <t>POREQ192661</t>
    <phoneticPr fontId="1" type="noConversion"/>
  </si>
  <si>
    <t>设备类型</t>
    <phoneticPr fontId="1" type="noConversion"/>
  </si>
  <si>
    <t>类型</t>
    <phoneticPr fontId="1" type="noConversion"/>
  </si>
  <si>
    <t>非标外购</t>
  </si>
  <si>
    <t>/</t>
    <phoneticPr fontId="1" type="noConversion"/>
  </si>
  <si>
    <t>董鑫</t>
    <phoneticPr fontId="1" type="noConversion"/>
  </si>
  <si>
    <t>朱成绪</t>
    <phoneticPr fontId="1" type="noConversion"/>
  </si>
  <si>
    <t>非标自制</t>
  </si>
  <si>
    <t>标准外购</t>
  </si>
  <si>
    <t>2023-2024</t>
    <phoneticPr fontId="1" type="noConversion"/>
  </si>
  <si>
    <t>YHPYJ-20240329001</t>
    <phoneticPr fontId="1" type="noConversion"/>
  </si>
  <si>
    <t>预验收/组装调试</t>
  </si>
  <si>
    <t>HDGC2023002</t>
    <phoneticPr fontId="1" type="noConversion"/>
  </si>
  <si>
    <t>HDGC2024009</t>
    <phoneticPr fontId="1" type="noConversion"/>
  </si>
  <si>
    <t>HDGC2024011</t>
    <phoneticPr fontId="1" type="noConversion"/>
  </si>
  <si>
    <t>HDGC2024012</t>
  </si>
  <si>
    <t>HDGC2024016</t>
  </si>
  <si>
    <t>HDGC2024017</t>
  </si>
  <si>
    <t>HDGC2024018</t>
  </si>
  <si>
    <t>HDGC2024013</t>
    <phoneticPr fontId="1" type="noConversion"/>
  </si>
  <si>
    <t>HDGC2024015</t>
    <phoneticPr fontId="1" type="noConversion"/>
  </si>
  <si>
    <t>POREQ193715</t>
    <phoneticPr fontId="1" type="noConversion"/>
  </si>
  <si>
    <t>POREQ194366</t>
    <phoneticPr fontId="1" type="noConversion"/>
  </si>
  <si>
    <t>POREQ195653</t>
    <phoneticPr fontId="1" type="noConversion"/>
  </si>
  <si>
    <t>ZCQG-20240111002</t>
    <phoneticPr fontId="1" type="noConversion"/>
  </si>
  <si>
    <t>POREQ201974</t>
    <phoneticPr fontId="1" type="noConversion"/>
  </si>
  <si>
    <t>POREQ196375</t>
    <phoneticPr fontId="1" type="noConversion"/>
  </si>
  <si>
    <t>激光快速成型机（3D打印机）</t>
    <phoneticPr fontId="1" type="noConversion"/>
  </si>
  <si>
    <t>YHPYJ-20240412003</t>
    <phoneticPr fontId="1" type="noConversion"/>
  </si>
  <si>
    <t>YHPYJ-20240412002</t>
    <phoneticPr fontId="1" type="noConversion"/>
  </si>
  <si>
    <t>*音量检测设备(E1106)</t>
    <phoneticPr fontId="1" type="noConversion"/>
  </si>
  <si>
    <t>*三轴点胶平移台（E1106接收器窗罩点胶设备）</t>
    <phoneticPr fontId="1" type="noConversion"/>
  </si>
  <si>
    <t>*高温在线功率检测设备</t>
    <phoneticPr fontId="1" type="noConversion"/>
  </si>
  <si>
    <t>洁净房</t>
    <phoneticPr fontId="1" type="noConversion"/>
  </si>
  <si>
    <t>*高低温在线试验设备</t>
    <phoneticPr fontId="1" type="noConversion"/>
  </si>
  <si>
    <t>*越障设备</t>
    <phoneticPr fontId="1" type="noConversion"/>
  </si>
  <si>
    <t>HD-3207-362</t>
    <phoneticPr fontId="1" type="noConversion"/>
  </si>
  <si>
    <t>*摆体自动打机米螺丝设备</t>
    <phoneticPr fontId="1" type="noConversion"/>
  </si>
  <si>
    <t>*光轴自动校准设备</t>
    <phoneticPr fontId="1" type="noConversion"/>
  </si>
  <si>
    <t>HDGC2024003</t>
    <phoneticPr fontId="1" type="noConversion"/>
  </si>
  <si>
    <t>项目名称</t>
    <phoneticPr fontId="1" type="noConversion"/>
  </si>
  <si>
    <t>HD-3404-208</t>
    <phoneticPr fontId="1" type="noConversion"/>
  </si>
  <si>
    <t>HD-3207-363</t>
    <phoneticPr fontId="1" type="noConversion"/>
  </si>
  <si>
    <t>/</t>
    <phoneticPr fontId="1" type="noConversion"/>
  </si>
  <si>
    <t>*点线模组自动打螺丝设备</t>
    <phoneticPr fontId="1" type="noConversion"/>
  </si>
  <si>
    <t>*玻璃管与锥镜自动上下料设备</t>
    <phoneticPr fontId="1" type="noConversion"/>
  </si>
  <si>
    <t>LEICA 3CONE窗罩组装自动打螺丝设备</t>
    <phoneticPr fontId="1" type="noConversion"/>
  </si>
  <si>
    <t>磁钢点胶</t>
    <phoneticPr fontId="1" type="noConversion"/>
  </si>
  <si>
    <t>整机光功率自动检测设备</t>
    <phoneticPr fontId="1" type="noConversion"/>
  </si>
  <si>
    <t>锁紧机构组装</t>
    <phoneticPr fontId="1" type="noConversion"/>
  </si>
  <si>
    <t>微变量校准设备线质量自动检测</t>
    <phoneticPr fontId="1" type="noConversion"/>
  </si>
  <si>
    <t>*模组LD驱动板自动焊接设备</t>
    <phoneticPr fontId="1" type="noConversion"/>
  </si>
  <si>
    <t>*光管聚焦设备</t>
    <phoneticPr fontId="1" type="noConversion"/>
  </si>
  <si>
    <t>*摆体自动打机米螺丝设备（改善）</t>
    <phoneticPr fontId="1" type="noConversion"/>
  </si>
  <si>
    <t>HDGC2024019</t>
  </si>
  <si>
    <t>HDGC2024021</t>
  </si>
  <si>
    <t>HDGC2024022</t>
  </si>
  <si>
    <t>HDGC2024023</t>
  </si>
  <si>
    <t>HDGC2024024</t>
  </si>
  <si>
    <t>HDGC2024025</t>
  </si>
  <si>
    <t>HDGC2024026</t>
  </si>
  <si>
    <t>HDGC2024027</t>
  </si>
  <si>
    <t>*三轴点胶平移台（A4063L型支脚脚垫点胶设备）</t>
    <phoneticPr fontId="1" type="noConversion"/>
  </si>
  <si>
    <t>ZCQG-20240415001</t>
    <phoneticPr fontId="1" type="noConversion"/>
  </si>
  <si>
    <t>HD-3404-206</t>
    <phoneticPr fontId="1" type="noConversion"/>
  </si>
  <si>
    <t>YHPYJ-20240425001</t>
    <phoneticPr fontId="1" type="noConversion"/>
  </si>
  <si>
    <t>文件发放记录表</t>
    <phoneticPr fontId="1" type="noConversion"/>
  </si>
  <si>
    <t>HD-3106-217</t>
    <phoneticPr fontId="1" type="noConversion"/>
  </si>
  <si>
    <t>*A4063L型支架磁钢底板打磁钢工装</t>
    <phoneticPr fontId="1" type="noConversion"/>
  </si>
  <si>
    <t>HD-2304-092</t>
    <phoneticPr fontId="1" type="noConversion"/>
  </si>
  <si>
    <t>*E1106接收器打磁钢工装</t>
    <phoneticPr fontId="1" type="noConversion"/>
  </si>
  <si>
    <t>HDGC2024006</t>
    <phoneticPr fontId="1" type="noConversion"/>
  </si>
  <si>
    <t>YHPYJ-20240527001</t>
    <phoneticPr fontId="1" type="noConversion"/>
  </si>
  <si>
    <t>ZCQG-20240517003</t>
    <phoneticPr fontId="1" type="noConversion"/>
  </si>
  <si>
    <t>HD-2304-093</t>
    <phoneticPr fontId="1" type="noConversion"/>
  </si>
  <si>
    <t>YHPYJ-20240628002</t>
    <phoneticPr fontId="1" type="noConversion"/>
  </si>
  <si>
    <t>ZCQG-20240618002</t>
    <phoneticPr fontId="1" type="noConversion"/>
  </si>
  <si>
    <t>ZCQL-20231205001</t>
    <phoneticPr fontId="1" type="noConversion"/>
  </si>
  <si>
    <t>HDGC2024020</t>
    <phoneticPr fontId="1" type="noConversion"/>
  </si>
  <si>
    <t>ZCQG-20240318001</t>
    <phoneticPr fontId="1" type="noConversion"/>
  </si>
  <si>
    <t>HD-2403-055</t>
    <phoneticPr fontId="1" type="noConversion"/>
  </si>
  <si>
    <t>YHPYJ-20240718001</t>
    <phoneticPr fontId="1" type="noConversion"/>
  </si>
  <si>
    <t>董鑫</t>
    <phoneticPr fontId="1" type="noConversion"/>
  </si>
  <si>
    <t>POREQ215940</t>
    <phoneticPr fontId="1" type="noConversion"/>
  </si>
  <si>
    <t>ZCQG-20240716002</t>
    <phoneticPr fontId="1" type="noConversion"/>
  </si>
  <si>
    <t>ZCQG-20240716001</t>
    <phoneticPr fontId="1" type="noConversion"/>
  </si>
  <si>
    <t>模组光功率自动检测设备</t>
    <phoneticPr fontId="1" type="noConversion"/>
  </si>
  <si>
    <t>HD-3106-221</t>
    <phoneticPr fontId="1" type="noConversion"/>
  </si>
  <si>
    <t>HD-2304-094</t>
    <phoneticPr fontId="1" type="noConversion"/>
  </si>
  <si>
    <t>HD-2304-091</t>
    <phoneticPr fontId="1" type="noConversion"/>
  </si>
  <si>
    <t xml:space="preserve">HD-2304-089清理改造 
</t>
    <phoneticPr fontId="1" type="noConversion"/>
  </si>
  <si>
    <t>*摆体支架螺纹胶快速固化设备</t>
    <phoneticPr fontId="1" type="noConversion"/>
  </si>
  <si>
    <t>HDGC2024028</t>
    <phoneticPr fontId="1" type="noConversion"/>
  </si>
  <si>
    <t>ZCQG-20240819001</t>
    <phoneticPr fontId="1" type="noConversion"/>
  </si>
  <si>
    <t>/</t>
    <phoneticPr fontId="1" type="noConversion"/>
  </si>
  <si>
    <t>HDGC2024029</t>
    <phoneticPr fontId="1" type="noConversion"/>
  </si>
  <si>
    <t>HDGC2024030</t>
    <phoneticPr fontId="1" type="noConversion"/>
  </si>
  <si>
    <t>HDGC2024031</t>
    <phoneticPr fontId="1" type="noConversion"/>
  </si>
  <si>
    <t>HDGC2024032</t>
    <phoneticPr fontId="1" type="noConversion"/>
  </si>
  <si>
    <t>ZCQG-20240725002</t>
    <phoneticPr fontId="1" type="noConversion"/>
  </si>
  <si>
    <t>POREQ223525</t>
    <phoneticPr fontId="1" type="noConversion"/>
  </si>
  <si>
    <t>*整机光功率自动检测设备（复制）</t>
    <phoneticPr fontId="1" type="noConversion"/>
  </si>
  <si>
    <t>*高低温交变试验房</t>
    <phoneticPr fontId="1" type="noConversion"/>
  </si>
  <si>
    <t>POREQ223205</t>
    <phoneticPr fontId="1" type="noConversion"/>
  </si>
  <si>
    <t>HD-3215-271</t>
    <phoneticPr fontId="1" type="noConversion"/>
  </si>
  <si>
    <t>A4030机芯底座自动点胶工装</t>
    <phoneticPr fontId="1" type="noConversion"/>
  </si>
  <si>
    <t>A4053机芯底座自动点胶工装</t>
    <phoneticPr fontId="1" type="noConversion"/>
  </si>
  <si>
    <t>董鑫</t>
    <phoneticPr fontId="1" type="noConversion"/>
  </si>
  <si>
    <t>A4053驱动板及转接座自动点胶</t>
    <phoneticPr fontId="1" type="noConversion"/>
  </si>
  <si>
    <t>董鑫</t>
    <phoneticPr fontId="1" type="noConversion"/>
  </si>
  <si>
    <t>*Leica三控环装配流水固化设备</t>
    <phoneticPr fontId="1" type="noConversion"/>
  </si>
  <si>
    <t>*A4063齿轮箱输出扭力测试设备</t>
    <phoneticPr fontId="1" type="noConversion"/>
  </si>
  <si>
    <t>ZCQG-20240430002</t>
    <phoneticPr fontId="1" type="noConversion"/>
  </si>
  <si>
    <t>*A3028支架磁钢板安装工装</t>
    <phoneticPr fontId="1" type="noConversion"/>
  </si>
  <si>
    <t>*A4030L型支架点胶工装</t>
    <phoneticPr fontId="1" type="noConversion"/>
  </si>
  <si>
    <t>*A4030支架磁钢板安装工装</t>
    <phoneticPr fontId="1" type="noConversion"/>
  </si>
  <si>
    <t>*扫平仪坡度实测设备</t>
    <phoneticPr fontId="1" type="noConversion"/>
  </si>
  <si>
    <t>HDGC2024034</t>
  </si>
  <si>
    <t>HDGC2024035</t>
  </si>
  <si>
    <t>HDGC2024036</t>
  </si>
  <si>
    <t>HDGC2024037</t>
  </si>
  <si>
    <t>*铜丝触点自动焊接设备</t>
    <phoneticPr fontId="1" type="noConversion"/>
  </si>
  <si>
    <t>*整机扭力测试自动记录系统</t>
    <phoneticPr fontId="1" type="noConversion"/>
  </si>
  <si>
    <t>*微动开关自动焊接设备</t>
    <phoneticPr fontId="1" type="noConversion"/>
  </si>
  <si>
    <t>*A4053测试反向空回设备</t>
    <phoneticPr fontId="1" type="noConversion"/>
  </si>
  <si>
    <t>*Hilti内环UV固化设备</t>
    <phoneticPr fontId="1" type="noConversion"/>
  </si>
  <si>
    <t>HD-3215-318</t>
    <phoneticPr fontId="1" type="noConversion"/>
  </si>
  <si>
    <t>ZCQG-20241204001</t>
    <phoneticPr fontId="1" type="noConversion"/>
  </si>
  <si>
    <t>*非球自动装配设备</t>
    <phoneticPr fontId="1" type="noConversion"/>
  </si>
  <si>
    <t>ZCQG-20241128001</t>
    <phoneticPr fontId="1" type="noConversion"/>
  </si>
  <si>
    <t>*双工位微变量校准设备</t>
    <phoneticPr fontId="1" type="noConversion"/>
  </si>
  <si>
    <t>ZCQG-20241127002</t>
    <phoneticPr fontId="1" type="noConversion"/>
  </si>
  <si>
    <t>POREQ224813</t>
    <phoneticPr fontId="1" type="noConversion"/>
  </si>
  <si>
    <t>YHPYJ-20241230001</t>
    <phoneticPr fontId="1" type="noConversion"/>
  </si>
  <si>
    <t>101CGSQ00016089</t>
    <phoneticPr fontId="1" type="noConversion"/>
  </si>
  <si>
    <t>HD-2304-096</t>
    <phoneticPr fontId="1" type="noConversion"/>
  </si>
  <si>
    <t>YHPYJ-20250205001</t>
    <phoneticPr fontId="1" type="noConversion"/>
  </si>
  <si>
    <t>HDGC2024038</t>
  </si>
  <si>
    <t>HDGC2024040</t>
  </si>
  <si>
    <t>HDGC2024041</t>
  </si>
  <si>
    <t>HDGC2024042</t>
  </si>
  <si>
    <t>HDGC2024043</t>
  </si>
  <si>
    <t>HDGC2024044</t>
    <phoneticPr fontId="1" type="noConversion"/>
  </si>
  <si>
    <t>HD-2304-076</t>
    <phoneticPr fontId="1" type="noConversion"/>
  </si>
  <si>
    <t>YHPYJ-20250307001</t>
    <phoneticPr fontId="1" type="noConversion"/>
  </si>
  <si>
    <t>感应范围测试设备</t>
    <phoneticPr fontId="1" type="noConversion"/>
  </si>
  <si>
    <t>HDGC2023006</t>
    <phoneticPr fontId="1" type="noConversion"/>
  </si>
  <si>
    <t>HDGC2024033</t>
    <phoneticPr fontId="1" type="noConversion"/>
  </si>
  <si>
    <t>HDGC2024039</t>
    <phoneticPr fontId="1" type="noConversion"/>
  </si>
  <si>
    <t>101CGSQ00023509</t>
    <phoneticPr fontId="1" type="noConversion"/>
  </si>
  <si>
    <t>101CGSQ00023552</t>
    <phoneticPr fontId="1" type="noConversion"/>
  </si>
  <si>
    <t>101CGSQ00025696</t>
    <phoneticPr fontId="1" type="noConversion"/>
  </si>
  <si>
    <t>*A3039打磁钢工装</t>
    <phoneticPr fontId="1" type="noConversion"/>
  </si>
  <si>
    <t>A4065打磁钢工装</t>
    <phoneticPr fontId="1" type="noConversion"/>
  </si>
  <si>
    <t>A4065微调底座自动打螺丝工装</t>
    <phoneticPr fontId="1" type="noConversion"/>
  </si>
  <si>
    <t>线序检测工装</t>
    <phoneticPr fontId="1" type="noConversion"/>
  </si>
  <si>
    <t>101CGSQ00023508</t>
    <phoneticPr fontId="1" type="noConversion"/>
  </si>
  <si>
    <t>101CGSQ00024229</t>
    <phoneticPr fontId="1" type="noConversion"/>
  </si>
  <si>
    <t>PM50A整机测空回项目（软件）</t>
    <phoneticPr fontId="1" type="noConversion"/>
  </si>
  <si>
    <t>ZCQG-20250325003</t>
    <phoneticPr fontId="1" type="noConversion"/>
  </si>
  <si>
    <t>A4066微调底座打螺丝工装</t>
    <phoneticPr fontId="1" type="noConversion"/>
  </si>
  <si>
    <t>101CGSQ00008827</t>
    <phoneticPr fontId="1" type="noConversion"/>
  </si>
  <si>
    <t>A4065微动开关焊接设备</t>
    <phoneticPr fontId="1" type="noConversion"/>
  </si>
  <si>
    <t>101CGSQ00031068</t>
    <phoneticPr fontId="1" type="noConversion"/>
  </si>
  <si>
    <t>HDGC2024045</t>
    <phoneticPr fontId="1" type="noConversion"/>
  </si>
  <si>
    <t>HDGC2024046</t>
  </si>
  <si>
    <t>A4066齿轮箱涂油工装</t>
  </si>
  <si>
    <t>HDGC2024047</t>
  </si>
  <si>
    <t>A4066齿条涂油工装</t>
  </si>
  <si>
    <t>HDGC2024048</t>
  </si>
  <si>
    <t>A4066内齿圈压入工装</t>
  </si>
  <si>
    <t>HDGC2024049</t>
  </si>
  <si>
    <t>A4066轮系跑合工装</t>
  </si>
  <si>
    <t>HDGC2024050</t>
  </si>
  <si>
    <t>101CGSQ00029372</t>
  </si>
  <si>
    <t>101CGSQ00029373</t>
  </si>
  <si>
    <t>101CGSQ00029374</t>
  </si>
  <si>
    <t>101CGSQ00029376</t>
  </si>
  <si>
    <t>101CGSQ00029377</t>
  </si>
  <si>
    <t>A4066太阳轮压装工装</t>
    <phoneticPr fontId="1" type="noConversion"/>
  </si>
  <si>
    <t>A4065 L型支架点胶工装</t>
    <phoneticPr fontId="1" type="noConversion"/>
  </si>
  <si>
    <t>A4065 支架磁钢板安装工装</t>
    <phoneticPr fontId="1" type="noConversion"/>
  </si>
  <si>
    <t>ZCQG-20250519001</t>
    <phoneticPr fontId="1" type="noConversion"/>
  </si>
  <si>
    <t>摆体支架螺纹胶快速固化设备（复制）</t>
    <phoneticPr fontId="1" type="noConversion"/>
  </si>
  <si>
    <t>HD-2302-131</t>
    <phoneticPr fontId="1" type="noConversion"/>
  </si>
  <si>
    <t>YHPYJ-20250804003</t>
    <phoneticPr fontId="1" type="noConversion"/>
  </si>
  <si>
    <t>HD-3106-223</t>
    <phoneticPr fontId="1" type="noConversion"/>
  </si>
  <si>
    <t>HD-3106-222</t>
    <phoneticPr fontId="1" type="noConversion"/>
  </si>
  <si>
    <t>HD-3106-224</t>
    <phoneticPr fontId="1" type="noConversion"/>
  </si>
  <si>
    <t>HD-3106-002</t>
    <phoneticPr fontId="1" type="noConversion"/>
  </si>
  <si>
    <t>HD-3106-004</t>
    <phoneticPr fontId="1" type="noConversion"/>
  </si>
  <si>
    <t>HD-3106-005</t>
    <phoneticPr fontId="1" type="noConversion"/>
  </si>
  <si>
    <t>HD-3106-006</t>
    <phoneticPr fontId="1" type="noConversion"/>
  </si>
  <si>
    <t>HD-3106-007</t>
    <phoneticPr fontId="1" type="noConversion"/>
  </si>
  <si>
    <t>YHPYJ-20250728001</t>
    <phoneticPr fontId="1" type="noConversion"/>
  </si>
  <si>
    <t>设备方案 OR BOM清单</t>
    <phoneticPr fontId="1" type="noConversion"/>
  </si>
  <si>
    <t>设备项目
问题改善</t>
    <phoneticPr fontId="1" type="noConversion"/>
  </si>
  <si>
    <t>设备
验证记录</t>
    <phoneticPr fontId="1" type="noConversion"/>
  </si>
  <si>
    <t>培训记录</t>
    <phoneticPr fontId="1" type="noConversion"/>
  </si>
  <si>
    <t>说明书</t>
    <phoneticPr fontId="1" type="noConversion"/>
  </si>
  <si>
    <t>维保文件</t>
    <phoneticPr fontId="1" type="noConversion"/>
  </si>
  <si>
    <t>WI</t>
    <phoneticPr fontId="1" type="noConversion"/>
  </si>
  <si>
    <t>设备
验收单</t>
    <phoneticPr fontId="1" type="noConversion"/>
  </si>
  <si>
    <t>设备
申请表</t>
    <phoneticPr fontId="1" type="noConversion"/>
  </si>
  <si>
    <t>技术协议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</si>
</sst>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1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26"/>
      <color theme="1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9C0006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 shrinkToFit="1"/>
    </xf>
    <xf numFmtId="0" fontId="0" fillId="0" borderId="8" xfId="0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shrinkToFit="1"/>
    </xf>
    <xf numFmtId="0" fontId="2" fillId="0" borderId="1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4" fontId="0" fillId="0" borderId="9" xfId="0" applyNumberFormat="1" applyBorder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76" fontId="2" fillId="0" borderId="6" xfId="1" applyNumberFormat="1" applyFont="1" applyBorder="1" applyAlignment="1">
      <alignment vertical="center"/>
    </xf>
    <xf numFmtId="176" fontId="3" fillId="0" borderId="1" xfId="1" applyNumberFormat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176" fontId="0" fillId="0" borderId="4" xfId="1" applyNumberFormat="1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176" fontId="3" fillId="0" borderId="4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13" xfId="1" applyNumberFormat="1" applyFont="1" applyBorder="1" applyAlignment="1">
      <alignment horizontal="center" vertical="center"/>
    </xf>
    <xf numFmtId="176" fontId="3" fillId="0" borderId="13" xfId="1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 shrinkToFit="1"/>
    </xf>
    <xf numFmtId="0" fontId="0" fillId="0" borderId="0" xfId="0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6" fontId="0" fillId="0" borderId="8" xfId="1" applyNumberFormat="1" applyFont="1" applyBorder="1" applyAlignment="1">
      <alignment horizontal="center" vertical="center"/>
    </xf>
    <xf numFmtId="176" fontId="3" fillId="0" borderId="8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2" fillId="4" borderId="1" xfId="2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1" applyNumberFormat="1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horizontal="center" vertical="center" shrinkToFit="1"/>
    </xf>
    <xf numFmtId="0" fontId="9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差" xfId="2" builtinId="27"/>
    <cellStyle name="常规" xfId="0" builtinId="0"/>
    <cellStyle name="千位分隔" xfId="1" builtinId="3"/>
  </cellStyles>
  <dxfs count="132"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275164</xdr:colOff>
      <xdr:row>1</xdr:row>
      <xdr:rowOff>19048</xdr:rowOff>
    </xdr:from>
    <xdr:to>
      <xdr:col>3</xdr:col>
      <xdr:colOff>243417</xdr:colOff>
      <xdr:row>1</xdr:row>
      <xdr:rowOff>835192</xdr:rowOff>
    </xdr:to>
    <xdr:pic>
      <xdr:nvPicPr>
        <xdr:cNvPr id="2" name="Picture 8" descr="HDOEI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3831" y="198965"/>
          <a:ext cx="1756836" cy="816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2"/>
  <sheetViews>
    <sheetView showGridLines="0" tabSelected="1" topLeftCell="G1" zoomScale="90" zoomScaleNormal="90" workbookViewId="0">
      <pane ySplit="4" topLeftCell="A5" activePane="bottomLeft" state="frozen"/>
      <selection pane="bottomLeft" activeCell="P10" sqref="P10"/>
    </sheetView>
  </sheetViews>
  <sheetFormatPr defaultRowHeight="20.100000000000001" customHeight="1" x14ac:dyDescent="0.15"/>
  <cols>
    <col min="1" max="1" width="4.5" style="6" customWidth="1"/>
    <col min="2" max="2" width="6.75" style="1" customWidth="1"/>
    <col min="3" max="3" width="13.25" style="83" customWidth="1"/>
    <col min="4" max="4" width="8.75" style="1" customWidth="1"/>
    <col min="5" max="5" width="39.125" style="54" customWidth="1"/>
    <col min="6" max="6" width="13.375" style="6" customWidth="1"/>
    <col min="7" max="7" width="9.125" style="1" customWidth="1"/>
    <col min="8" max="8" width="7.625" style="1" customWidth="1"/>
    <col min="9" max="9" width="9" style="83" customWidth="1"/>
    <col min="10" max="10" width="9" style="1" customWidth="1"/>
    <col min="11" max="11" width="11.75" style="35" customWidth="1"/>
    <col min="12" max="12" width="12.5" style="84" customWidth="1"/>
    <col min="13" max="13" width="8" style="1" customWidth="1"/>
    <col min="14" max="14" width="7.625" style="1" customWidth="1"/>
    <col min="15" max="15" width="18.375" style="6" bestFit="1" customWidth="1"/>
    <col min="16" max="16" width="8.625" style="6" customWidth="1"/>
    <col min="17" max="19" width="8.625" style="1" customWidth="1"/>
    <col min="20" max="20" width="10.75" style="1" customWidth="1"/>
    <col min="21" max="21" width="0.125" style="1" hidden="1" customWidth="1"/>
    <col min="22" max="25" width="8.625" style="1" customWidth="1"/>
    <col min="26" max="26" width="8.875" style="1" customWidth="1"/>
    <col min="27" max="28" width="8.625" style="2" customWidth="1"/>
    <col min="29" max="29" width="13.875" style="1" customWidth="1"/>
    <col min="30" max="30" width="9.625" style="1" customWidth="1"/>
    <col min="31" max="32" width="15.625" style="6" customWidth="1"/>
    <col min="33" max="16384" width="9" style="6"/>
  </cols>
  <sheetData>
    <row r="1" spans="2:32" ht="20.100000000000001" customHeight="1" thickBot="1" x14ac:dyDescent="0.2"/>
    <row r="2" spans="2:32" s="2" customFormat="1" ht="39.75" customHeight="1" thickTop="1" x14ac:dyDescent="0.15">
      <c r="B2" s="32"/>
      <c r="C2" s="55"/>
      <c r="D2" s="33"/>
      <c r="E2" s="55"/>
      <c r="F2" s="33"/>
      <c r="G2" s="58" t="s">
        <v>112</v>
      </c>
      <c r="H2" s="33"/>
      <c r="I2" s="55"/>
      <c r="J2" s="33"/>
      <c r="K2" s="36"/>
      <c r="L2" s="36"/>
      <c r="M2" s="33"/>
      <c r="N2" s="33"/>
      <c r="O2" s="90" t="s">
        <v>186</v>
      </c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2"/>
      <c r="AE2" s="93"/>
      <c r="AF2" s="11"/>
    </row>
    <row r="3" spans="2:32" s="8" customFormat="1" ht="37.5" customHeight="1" x14ac:dyDescent="0.15">
      <c r="B3" s="14" t="s">
        <v>0</v>
      </c>
      <c r="C3" s="56" t="s">
        <v>105</v>
      </c>
      <c r="D3" s="25" t="s">
        <v>145</v>
      </c>
      <c r="E3" s="9" t="s">
        <v>228</v>
      </c>
      <c r="F3" s="5" t="s">
        <v>1</v>
      </c>
      <c r="G3" s="5" t="s">
        <v>189</v>
      </c>
      <c r="H3" s="5" t="s">
        <v>190</v>
      </c>
      <c r="I3" s="9" t="s">
        <v>2</v>
      </c>
      <c r="J3" s="9" t="s">
        <v>166</v>
      </c>
      <c r="K3" s="37" t="s">
        <v>3</v>
      </c>
      <c r="L3" s="37" t="s">
        <v>4</v>
      </c>
      <c r="M3" s="30" t="s">
        <v>5</v>
      </c>
      <c r="N3" s="9" t="s">
        <v>6</v>
      </c>
      <c r="O3" s="9" t="s">
        <v>38</v>
      </c>
      <c r="P3" s="9" t="s">
        <v>391</v>
      </c>
      <c r="Q3" s="9" t="s">
        <v>392</v>
      </c>
      <c r="R3" s="9" t="s">
        <v>383</v>
      </c>
      <c r="S3" s="9" t="s">
        <v>384</v>
      </c>
      <c r="T3" s="9" t="s">
        <v>385</v>
      </c>
      <c r="U3" s="9" t="s">
        <v>42</v>
      </c>
      <c r="V3" s="9" t="s">
        <v>386</v>
      </c>
      <c r="W3" s="9" t="s">
        <v>387</v>
      </c>
      <c r="X3" s="9" t="s">
        <v>388</v>
      </c>
      <c r="Y3" s="9" t="s">
        <v>389</v>
      </c>
      <c r="Z3" s="9" t="s">
        <v>390</v>
      </c>
      <c r="AA3" s="31" t="s">
        <v>39</v>
      </c>
      <c r="AB3" s="31"/>
      <c r="AC3" s="9" t="s">
        <v>41</v>
      </c>
      <c r="AD3" s="69" t="s">
        <v>254</v>
      </c>
      <c r="AE3" s="15" t="s">
        <v>7</v>
      </c>
      <c r="AF3" s="12"/>
    </row>
    <row r="4" spans="2:32" s="8" customFormat="1" ht="20.100000000000001" customHeight="1" x14ac:dyDescent="0.15">
      <c r="B4" s="14"/>
      <c r="C4" s="25"/>
      <c r="D4" s="25"/>
      <c r="E4" s="5"/>
      <c r="F4" s="5"/>
      <c r="G4" s="5" t="s">
        <v>191</v>
      </c>
      <c r="H4" s="5"/>
      <c r="I4" s="5"/>
      <c r="J4" s="5"/>
      <c r="K4" s="37"/>
      <c r="L4" s="37"/>
      <c r="M4" s="5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53"/>
      <c r="AB4" s="53"/>
      <c r="AC4" s="9"/>
      <c r="AD4" s="69"/>
      <c r="AE4" s="15"/>
      <c r="AF4" s="12"/>
    </row>
    <row r="5" spans="2:32" ht="20.100000000000001" customHeight="1" x14ac:dyDescent="0.15">
      <c r="B5" s="16">
        <f>ROW()-4</f>
        <v>1</v>
      </c>
      <c r="C5" s="26">
        <v>2022</v>
      </c>
      <c r="D5" s="26"/>
      <c r="E5" s="3" t="s">
        <v>75</v>
      </c>
      <c r="F5" s="3" t="s">
        <v>9</v>
      </c>
      <c r="G5" s="4" t="s">
        <v>196</v>
      </c>
      <c r="H5" s="4" t="s">
        <v>40</v>
      </c>
      <c r="I5" s="4" t="s">
        <v>8</v>
      </c>
      <c r="J5" s="4"/>
      <c r="K5" s="38">
        <v>25000</v>
      </c>
      <c r="L5" s="40">
        <v>25000</v>
      </c>
      <c r="M5" s="4" t="s">
        <v>51</v>
      </c>
      <c r="N5" s="5" t="s">
        <v>28</v>
      </c>
      <c r="O5" s="3"/>
      <c r="P5" s="5" t="s">
        <v>192</v>
      </c>
      <c r="Q5" s="4" t="s">
        <v>30</v>
      </c>
      <c r="R5" s="4" t="s">
        <v>45</v>
      </c>
      <c r="S5" s="4" t="s">
        <v>30</v>
      </c>
      <c r="T5" s="4" t="s">
        <v>30</v>
      </c>
      <c r="U5" s="4" t="s">
        <v>30</v>
      </c>
      <c r="V5" s="4" t="s">
        <v>30</v>
      </c>
      <c r="W5" s="4" t="s">
        <v>30</v>
      </c>
      <c r="X5" s="4" t="s">
        <v>30</v>
      </c>
      <c r="Y5" s="4" t="s">
        <v>30</v>
      </c>
      <c r="Z5" s="4" t="s">
        <v>30</v>
      </c>
      <c r="AA5" s="10" t="s">
        <v>52</v>
      </c>
      <c r="AB5" s="10"/>
      <c r="AC5" s="3" t="s">
        <v>49</v>
      </c>
      <c r="AD5" s="73" t="s">
        <v>30</v>
      </c>
      <c r="AE5" s="17"/>
    </row>
    <row r="6" spans="2:32" ht="20.100000000000001" customHeight="1" x14ac:dyDescent="0.15">
      <c r="B6" s="16">
        <f t="shared" ref="B6:B89" si="0">ROW()-4</f>
        <v>2</v>
      </c>
      <c r="C6" s="26">
        <v>2022</v>
      </c>
      <c r="D6" s="26"/>
      <c r="E6" s="3" t="s">
        <v>48</v>
      </c>
      <c r="F6" s="3" t="s">
        <v>10</v>
      </c>
      <c r="G6" s="4"/>
      <c r="H6" s="4" t="s">
        <v>40</v>
      </c>
      <c r="I6" s="4" t="s">
        <v>8</v>
      </c>
      <c r="J6" s="4"/>
      <c r="K6" s="38">
        <v>250000</v>
      </c>
      <c r="L6" s="40">
        <v>250000</v>
      </c>
      <c r="M6" s="4" t="s">
        <v>51</v>
      </c>
      <c r="N6" s="5" t="s">
        <v>29</v>
      </c>
      <c r="O6" s="29" t="s">
        <v>103</v>
      </c>
      <c r="P6" s="5" t="s">
        <v>45</v>
      </c>
      <c r="Q6" s="4" t="s">
        <v>30</v>
      </c>
      <c r="R6" s="4" t="s">
        <v>45</v>
      </c>
      <c r="S6" s="4" t="s">
        <v>30</v>
      </c>
      <c r="T6" s="4" t="s">
        <v>30</v>
      </c>
      <c r="U6" s="4" t="s">
        <v>30</v>
      </c>
      <c r="V6" s="4" t="s">
        <v>30</v>
      </c>
      <c r="W6" s="4" t="s">
        <v>30</v>
      </c>
      <c r="X6" s="4" t="s">
        <v>30</v>
      </c>
      <c r="Y6" s="4" t="s">
        <v>30</v>
      </c>
      <c r="Z6" s="4" t="s">
        <v>30</v>
      </c>
      <c r="AA6" s="10" t="s">
        <v>57</v>
      </c>
      <c r="AB6" s="10"/>
      <c r="AC6" s="29" t="s">
        <v>278</v>
      </c>
      <c r="AD6" s="73" t="s">
        <v>30</v>
      </c>
      <c r="AE6" s="17"/>
    </row>
    <row r="7" spans="2:32" ht="20.100000000000001" customHeight="1" x14ac:dyDescent="0.15">
      <c r="B7" s="16">
        <f t="shared" si="0"/>
        <v>3</v>
      </c>
      <c r="C7" s="26">
        <v>2022</v>
      </c>
      <c r="D7" s="26"/>
      <c r="E7" s="3" t="s">
        <v>11</v>
      </c>
      <c r="F7" s="3" t="s">
        <v>12</v>
      </c>
      <c r="G7" s="4"/>
      <c r="H7" s="4" t="s">
        <v>40</v>
      </c>
      <c r="I7" s="4" t="s">
        <v>8</v>
      </c>
      <c r="J7" s="4"/>
      <c r="K7" s="38">
        <v>180000</v>
      </c>
      <c r="L7" s="40">
        <v>170000</v>
      </c>
      <c r="M7" s="4" t="s">
        <v>51</v>
      </c>
      <c r="N7" s="5" t="s">
        <v>29</v>
      </c>
      <c r="O7" s="3"/>
      <c r="P7" s="5" t="s">
        <v>45</v>
      </c>
      <c r="Q7" s="4" t="s">
        <v>30</v>
      </c>
      <c r="R7" s="4" t="s">
        <v>45</v>
      </c>
      <c r="S7" s="4" t="s">
        <v>30</v>
      </c>
      <c r="T7" s="4" t="s">
        <v>30</v>
      </c>
      <c r="U7" s="4" t="s">
        <v>30</v>
      </c>
      <c r="V7" s="4" t="s">
        <v>30</v>
      </c>
      <c r="W7" s="4" t="s">
        <v>30</v>
      </c>
      <c r="X7" s="4" t="s">
        <v>30</v>
      </c>
      <c r="Y7" s="4" t="s">
        <v>30</v>
      </c>
      <c r="Z7" s="4" t="s">
        <v>30</v>
      </c>
      <c r="AA7" s="10" t="s">
        <v>53</v>
      </c>
      <c r="AB7" s="10"/>
      <c r="AC7" s="3" t="s">
        <v>292</v>
      </c>
      <c r="AD7" s="73"/>
      <c r="AE7" s="17"/>
    </row>
    <row r="8" spans="2:32" ht="20.100000000000001" customHeight="1" x14ac:dyDescent="0.15">
      <c r="B8" s="16">
        <f t="shared" si="0"/>
        <v>4</v>
      </c>
      <c r="C8" s="57" t="s">
        <v>110</v>
      </c>
      <c r="D8" s="26">
        <v>1</v>
      </c>
      <c r="E8" s="3" t="s">
        <v>240</v>
      </c>
      <c r="F8" s="3" t="s">
        <v>13</v>
      </c>
      <c r="G8" s="4" t="s">
        <v>191</v>
      </c>
      <c r="H8" s="4" t="s">
        <v>40</v>
      </c>
      <c r="I8" s="60" t="s">
        <v>94</v>
      </c>
      <c r="J8" s="4"/>
      <c r="K8" s="38">
        <v>220000</v>
      </c>
      <c r="L8" s="40">
        <v>203000</v>
      </c>
      <c r="M8" s="4" t="s">
        <v>91</v>
      </c>
      <c r="N8" s="5" t="s">
        <v>29</v>
      </c>
      <c r="O8" s="29" t="s">
        <v>102</v>
      </c>
      <c r="P8" s="5"/>
      <c r="Q8" s="4" t="s">
        <v>30</v>
      </c>
      <c r="R8" s="4" t="s">
        <v>45</v>
      </c>
      <c r="S8" s="4" t="s">
        <v>45</v>
      </c>
      <c r="T8" s="4" t="s">
        <v>45</v>
      </c>
      <c r="U8" s="4" t="s">
        <v>45</v>
      </c>
      <c r="V8" s="4"/>
      <c r="W8" s="4"/>
      <c r="X8" s="4"/>
      <c r="Y8" s="4"/>
      <c r="Z8" s="4" t="s">
        <v>30</v>
      </c>
      <c r="AA8" s="10" t="s">
        <v>263</v>
      </c>
      <c r="AB8" s="10"/>
      <c r="AC8" s="3" t="s">
        <v>262</v>
      </c>
      <c r="AD8" s="73"/>
      <c r="AE8" s="17"/>
    </row>
    <row r="9" spans="2:32" ht="20.100000000000001" customHeight="1" x14ac:dyDescent="0.15">
      <c r="B9" s="16">
        <f t="shared" si="0"/>
        <v>5</v>
      </c>
      <c r="C9" s="26">
        <v>2022</v>
      </c>
      <c r="D9" s="26"/>
      <c r="E9" s="3" t="s">
        <v>66</v>
      </c>
      <c r="F9" s="3" t="s">
        <v>14</v>
      </c>
      <c r="G9" s="4"/>
      <c r="H9" s="4" t="s">
        <v>40</v>
      </c>
      <c r="I9" s="4" t="s">
        <v>8</v>
      </c>
      <c r="J9" s="4"/>
      <c r="K9" s="38">
        <v>103700</v>
      </c>
      <c r="L9" s="40">
        <v>103700</v>
      </c>
      <c r="M9" s="4" t="s">
        <v>51</v>
      </c>
      <c r="N9" s="5" t="s">
        <v>29</v>
      </c>
      <c r="O9" s="3"/>
      <c r="P9" s="5" t="s">
        <v>45</v>
      </c>
      <c r="Q9" s="4" t="s">
        <v>30</v>
      </c>
      <c r="R9" s="4" t="s">
        <v>45</v>
      </c>
      <c r="S9" s="4" t="s">
        <v>30</v>
      </c>
      <c r="T9" s="4" t="s">
        <v>30</v>
      </c>
      <c r="U9" s="4" t="s">
        <v>30</v>
      </c>
      <c r="V9" s="4" t="s">
        <v>30</v>
      </c>
      <c r="W9" s="4" t="s">
        <v>30</v>
      </c>
      <c r="X9" s="4" t="s">
        <v>30</v>
      </c>
      <c r="Y9" s="4" t="s">
        <v>30</v>
      </c>
      <c r="Z9" s="4" t="s">
        <v>30</v>
      </c>
      <c r="AA9" s="10" t="s">
        <v>31</v>
      </c>
      <c r="AB9" s="10"/>
      <c r="AC9" s="3" t="s">
        <v>35</v>
      </c>
      <c r="AD9" s="73"/>
      <c r="AE9" s="17"/>
    </row>
    <row r="10" spans="2:32" ht="20.100000000000001" customHeight="1" x14ac:dyDescent="0.15">
      <c r="B10" s="16">
        <f t="shared" si="0"/>
        <v>6</v>
      </c>
      <c r="C10" s="26">
        <v>2022</v>
      </c>
      <c r="D10" s="26"/>
      <c r="E10" s="3" t="s">
        <v>15</v>
      </c>
      <c r="F10" s="3" t="s">
        <v>16</v>
      </c>
      <c r="G10" s="4"/>
      <c r="H10" s="4" t="s">
        <v>40</v>
      </c>
      <c r="I10" s="4" t="s">
        <v>8</v>
      </c>
      <c r="J10" s="4"/>
      <c r="K10" s="38">
        <v>20000</v>
      </c>
      <c r="L10" s="40">
        <v>17407.21</v>
      </c>
      <c r="M10" s="4" t="s">
        <v>51</v>
      </c>
      <c r="N10" s="5" t="s">
        <v>29</v>
      </c>
      <c r="O10" s="3"/>
      <c r="P10" s="5" t="s">
        <v>45</v>
      </c>
      <c r="Q10" s="4" t="s">
        <v>30</v>
      </c>
      <c r="R10" s="4" t="s">
        <v>30</v>
      </c>
      <c r="S10" s="4" t="s">
        <v>45</v>
      </c>
      <c r="T10" s="4" t="s">
        <v>45</v>
      </c>
      <c r="U10" s="4" t="s">
        <v>45</v>
      </c>
      <c r="V10" s="4" t="s">
        <v>30</v>
      </c>
      <c r="W10" s="4" t="s">
        <v>30</v>
      </c>
      <c r="X10" s="4" t="s">
        <v>30</v>
      </c>
      <c r="Y10" s="4" t="s">
        <v>30</v>
      </c>
      <c r="Z10" s="4" t="s">
        <v>30</v>
      </c>
      <c r="AA10" s="10" t="s">
        <v>97</v>
      </c>
      <c r="AB10" s="10"/>
      <c r="AC10" s="3" t="s">
        <v>98</v>
      </c>
      <c r="AD10" s="73" t="s">
        <v>30</v>
      </c>
      <c r="AE10" s="17"/>
    </row>
    <row r="11" spans="2:32" ht="20.100000000000001" customHeight="1" x14ac:dyDescent="0.15">
      <c r="B11" s="16">
        <f t="shared" si="0"/>
        <v>7</v>
      </c>
      <c r="C11" s="26">
        <v>2022</v>
      </c>
      <c r="D11" s="26"/>
      <c r="E11" s="3" t="s">
        <v>50</v>
      </c>
      <c r="F11" s="3" t="s">
        <v>17</v>
      </c>
      <c r="G11" s="4"/>
      <c r="H11" s="4" t="s">
        <v>40</v>
      </c>
      <c r="I11" s="5" t="s">
        <v>8</v>
      </c>
      <c r="J11" s="5"/>
      <c r="K11" s="38">
        <v>75000</v>
      </c>
      <c r="L11" s="40">
        <v>74300</v>
      </c>
      <c r="M11" s="4" t="s">
        <v>51</v>
      </c>
      <c r="N11" s="5" t="s">
        <v>28</v>
      </c>
      <c r="O11" s="29" t="s">
        <v>85</v>
      </c>
      <c r="P11" s="5" t="s">
        <v>45</v>
      </c>
      <c r="Q11" s="4" t="s">
        <v>30</v>
      </c>
      <c r="R11" s="4" t="s">
        <v>45</v>
      </c>
      <c r="S11" s="4" t="s">
        <v>30</v>
      </c>
      <c r="T11" s="4" t="s">
        <v>30</v>
      </c>
      <c r="U11" s="4" t="s">
        <v>30</v>
      </c>
      <c r="V11" s="4" t="s">
        <v>30</v>
      </c>
      <c r="W11" s="4" t="s">
        <v>30</v>
      </c>
      <c r="X11" s="4" t="s">
        <v>30</v>
      </c>
      <c r="Y11" s="4" t="s">
        <v>30</v>
      </c>
      <c r="Z11" s="4" t="s">
        <v>30</v>
      </c>
      <c r="AA11" s="10" t="s">
        <v>32</v>
      </c>
      <c r="AB11" s="10"/>
      <c r="AC11" s="3" t="s">
        <v>36</v>
      </c>
      <c r="AD11" s="73" t="s">
        <v>30</v>
      </c>
      <c r="AE11" s="17"/>
    </row>
    <row r="12" spans="2:32" ht="20.100000000000001" customHeight="1" x14ac:dyDescent="0.15">
      <c r="B12" s="16">
        <f t="shared" si="0"/>
        <v>8</v>
      </c>
      <c r="C12" s="26">
        <v>2022</v>
      </c>
      <c r="D12" s="26"/>
      <c r="E12" s="3" t="s">
        <v>131</v>
      </c>
      <c r="F12" s="3" t="s">
        <v>18</v>
      </c>
      <c r="G12" s="4"/>
      <c r="H12" s="4" t="s">
        <v>44</v>
      </c>
      <c r="I12" s="4" t="s">
        <v>8</v>
      </c>
      <c r="J12" s="4"/>
      <c r="K12" s="38">
        <v>15000</v>
      </c>
      <c r="L12" s="40">
        <v>15000</v>
      </c>
      <c r="M12" s="4" t="s">
        <v>51</v>
      </c>
      <c r="N12" s="5" t="s">
        <v>28</v>
      </c>
      <c r="O12" s="29" t="s">
        <v>86</v>
      </c>
      <c r="P12" s="5" t="s">
        <v>45</v>
      </c>
      <c r="Q12" s="4" t="s">
        <v>45</v>
      </c>
      <c r="R12" s="4" t="s">
        <v>45</v>
      </c>
      <c r="S12" s="4" t="s">
        <v>45</v>
      </c>
      <c r="T12" s="4" t="s">
        <v>45</v>
      </c>
      <c r="U12" s="4" t="s">
        <v>45</v>
      </c>
      <c r="V12" s="4" t="s">
        <v>45</v>
      </c>
      <c r="W12" s="4" t="s">
        <v>30</v>
      </c>
      <c r="X12" s="4" t="s">
        <v>30</v>
      </c>
      <c r="Y12" s="4" t="s">
        <v>30</v>
      </c>
      <c r="Z12" s="4" t="s">
        <v>30</v>
      </c>
      <c r="AA12" s="10" t="s">
        <v>33</v>
      </c>
      <c r="AB12" s="10"/>
      <c r="AC12" s="3" t="s">
        <v>132</v>
      </c>
      <c r="AD12" s="73" t="s">
        <v>30</v>
      </c>
      <c r="AE12" s="17"/>
    </row>
    <row r="13" spans="2:32" ht="20.100000000000001" customHeight="1" x14ac:dyDescent="0.15">
      <c r="B13" s="16">
        <f t="shared" si="0"/>
        <v>9</v>
      </c>
      <c r="C13" s="26">
        <v>2022</v>
      </c>
      <c r="D13" s="26"/>
      <c r="E13" s="3" t="s">
        <v>58</v>
      </c>
      <c r="F13" s="3" t="s">
        <v>19</v>
      </c>
      <c r="G13" s="4"/>
      <c r="H13" s="4" t="s">
        <v>40</v>
      </c>
      <c r="I13" s="4" t="s">
        <v>8</v>
      </c>
      <c r="J13" s="4"/>
      <c r="K13" s="38">
        <v>26500</v>
      </c>
      <c r="L13" s="40">
        <v>26000</v>
      </c>
      <c r="M13" s="4" t="s">
        <v>51</v>
      </c>
      <c r="N13" s="5" t="s">
        <v>28</v>
      </c>
      <c r="O13" s="3" t="s">
        <v>82</v>
      </c>
      <c r="P13" s="5" t="s">
        <v>45</v>
      </c>
      <c r="Q13" s="4" t="s">
        <v>45</v>
      </c>
      <c r="R13" s="4" t="s">
        <v>45</v>
      </c>
      <c r="S13" s="4" t="s">
        <v>45</v>
      </c>
      <c r="T13" s="4" t="s">
        <v>45</v>
      </c>
      <c r="U13" s="4" t="s">
        <v>45</v>
      </c>
      <c r="V13" s="4" t="s">
        <v>45</v>
      </c>
      <c r="W13" s="4" t="s">
        <v>30</v>
      </c>
      <c r="X13" s="4" t="s">
        <v>30</v>
      </c>
      <c r="Y13" s="4" t="s">
        <v>30</v>
      </c>
      <c r="Z13" s="4" t="s">
        <v>30</v>
      </c>
      <c r="AA13" s="10" t="s">
        <v>34</v>
      </c>
      <c r="AB13" s="10"/>
      <c r="AC13" s="3" t="s">
        <v>37</v>
      </c>
      <c r="AD13" s="73"/>
      <c r="AE13" s="17"/>
    </row>
    <row r="14" spans="2:32" ht="20.100000000000001" customHeight="1" x14ac:dyDescent="0.15">
      <c r="B14" s="16">
        <f t="shared" si="0"/>
        <v>10</v>
      </c>
      <c r="C14" s="34" t="s">
        <v>110</v>
      </c>
      <c r="D14" s="26">
        <v>1</v>
      </c>
      <c r="E14" s="3" t="s">
        <v>20</v>
      </c>
      <c r="F14" s="3" t="s">
        <v>21</v>
      </c>
      <c r="G14" s="4"/>
      <c r="H14" s="4" t="s">
        <v>40</v>
      </c>
      <c r="I14" s="4" t="s">
        <v>8</v>
      </c>
      <c r="J14" s="4"/>
      <c r="K14" s="38">
        <v>430000</v>
      </c>
      <c r="L14" s="40">
        <v>420000</v>
      </c>
      <c r="M14" s="4" t="s">
        <v>51</v>
      </c>
      <c r="N14" s="5" t="s">
        <v>28</v>
      </c>
      <c r="O14" s="3" t="s">
        <v>80</v>
      </c>
      <c r="P14" s="5" t="s">
        <v>45</v>
      </c>
      <c r="Q14" s="4" t="s">
        <v>30</v>
      </c>
      <c r="R14" s="4" t="s">
        <v>45</v>
      </c>
      <c r="S14" s="4" t="s">
        <v>30</v>
      </c>
      <c r="T14" s="4" t="s">
        <v>30</v>
      </c>
      <c r="U14" s="4" t="s">
        <v>45</v>
      </c>
      <c r="V14" s="4" t="s">
        <v>30</v>
      </c>
      <c r="W14" s="4" t="s">
        <v>30</v>
      </c>
      <c r="X14" s="4" t="s">
        <v>30</v>
      </c>
      <c r="Y14" s="4" t="s">
        <v>30</v>
      </c>
      <c r="Z14" s="4" t="s">
        <v>30</v>
      </c>
      <c r="AA14" s="10"/>
      <c r="AB14" s="10"/>
      <c r="AC14" s="3" t="s">
        <v>153</v>
      </c>
      <c r="AD14" s="73" t="s">
        <v>30</v>
      </c>
      <c r="AE14" s="17"/>
    </row>
    <row r="15" spans="2:32" ht="20.100000000000001" customHeight="1" x14ac:dyDescent="0.15">
      <c r="B15" s="16">
        <f t="shared" si="0"/>
        <v>11</v>
      </c>
      <c r="C15" s="26" t="s">
        <v>109</v>
      </c>
      <c r="D15" s="26">
        <v>1</v>
      </c>
      <c r="E15" s="3" t="s">
        <v>76</v>
      </c>
      <c r="F15" s="3" t="s">
        <v>22</v>
      </c>
      <c r="G15" s="4"/>
      <c r="H15" s="4" t="s">
        <v>40</v>
      </c>
      <c r="I15" s="4" t="s">
        <v>8</v>
      </c>
      <c r="J15" s="4"/>
      <c r="K15" s="38">
        <v>380000</v>
      </c>
      <c r="L15" s="40">
        <v>430000</v>
      </c>
      <c r="M15" s="4" t="s">
        <v>51</v>
      </c>
      <c r="N15" s="5" t="s">
        <v>28</v>
      </c>
      <c r="O15" s="29" t="s">
        <v>79</v>
      </c>
      <c r="P15" s="5" t="s">
        <v>45</v>
      </c>
      <c r="Q15" s="4" t="s">
        <v>30</v>
      </c>
      <c r="R15" s="4" t="s">
        <v>45</v>
      </c>
      <c r="S15" s="4" t="s">
        <v>30</v>
      </c>
      <c r="T15" s="4" t="s">
        <v>45</v>
      </c>
      <c r="U15" s="4" t="s">
        <v>30</v>
      </c>
      <c r="V15" s="4" t="s">
        <v>30</v>
      </c>
      <c r="W15" s="4" t="s">
        <v>30</v>
      </c>
      <c r="X15" s="4" t="s">
        <v>30</v>
      </c>
      <c r="Y15" s="4" t="s">
        <v>30</v>
      </c>
      <c r="Z15" s="4" t="s">
        <v>30</v>
      </c>
      <c r="AA15" s="10" t="s">
        <v>134</v>
      </c>
      <c r="AB15" s="10"/>
      <c r="AC15" s="3" t="s">
        <v>133</v>
      </c>
      <c r="AD15" s="73" t="s">
        <v>30</v>
      </c>
      <c r="AE15" s="17"/>
    </row>
    <row r="16" spans="2:32" ht="20.100000000000001" customHeight="1" x14ac:dyDescent="0.15">
      <c r="B16" s="16">
        <f t="shared" si="0"/>
        <v>12</v>
      </c>
      <c r="C16" s="26">
        <v>2022</v>
      </c>
      <c r="D16" s="26"/>
      <c r="E16" s="3" t="s">
        <v>88</v>
      </c>
      <c r="F16" s="3" t="s">
        <v>23</v>
      </c>
      <c r="G16" s="4"/>
      <c r="H16" s="4" t="s">
        <v>40</v>
      </c>
      <c r="I16" s="4" t="s">
        <v>8</v>
      </c>
      <c r="J16" s="4"/>
      <c r="K16" s="38">
        <v>13000</v>
      </c>
      <c r="L16" s="40">
        <v>12000</v>
      </c>
      <c r="M16" s="4" t="s">
        <v>51</v>
      </c>
      <c r="N16" s="5" t="s">
        <v>28</v>
      </c>
      <c r="O16" s="3" t="s">
        <v>81</v>
      </c>
      <c r="P16" s="5" t="s">
        <v>45</v>
      </c>
      <c r="Q16" s="4" t="s">
        <v>45</v>
      </c>
      <c r="R16" s="4" t="s">
        <v>45</v>
      </c>
      <c r="S16" s="4" t="s">
        <v>45</v>
      </c>
      <c r="T16" s="4" t="s">
        <v>45</v>
      </c>
      <c r="U16" s="4" t="s">
        <v>45</v>
      </c>
      <c r="V16" s="4" t="s">
        <v>45</v>
      </c>
      <c r="W16" s="4" t="s">
        <v>30</v>
      </c>
      <c r="X16" s="4" t="s">
        <v>30</v>
      </c>
      <c r="Y16" s="4" t="s">
        <v>30</v>
      </c>
      <c r="Z16" s="4" t="s">
        <v>30</v>
      </c>
      <c r="AA16" s="10" t="s">
        <v>65</v>
      </c>
      <c r="AB16" s="10"/>
      <c r="AC16" s="3" t="s">
        <v>62</v>
      </c>
      <c r="AD16" s="73"/>
      <c r="AE16" s="17"/>
    </row>
    <row r="17" spans="2:32" ht="20.100000000000001" customHeight="1" x14ac:dyDescent="0.15">
      <c r="B17" s="16">
        <f t="shared" si="0"/>
        <v>13</v>
      </c>
      <c r="C17" s="26">
        <v>2022</v>
      </c>
      <c r="D17" s="26"/>
      <c r="E17" s="3" t="s">
        <v>87</v>
      </c>
      <c r="F17" s="3" t="s">
        <v>24</v>
      </c>
      <c r="G17" s="4"/>
      <c r="H17" s="4" t="s">
        <v>40</v>
      </c>
      <c r="I17" s="4" t="s">
        <v>8</v>
      </c>
      <c r="J17" s="4"/>
      <c r="K17" s="38">
        <v>22000</v>
      </c>
      <c r="L17" s="40">
        <v>21000</v>
      </c>
      <c r="M17" s="4" t="s">
        <v>51</v>
      </c>
      <c r="N17" s="5" t="s">
        <v>28</v>
      </c>
      <c r="O17" s="3" t="s">
        <v>81</v>
      </c>
      <c r="P17" s="5" t="s">
        <v>45</v>
      </c>
      <c r="Q17" s="4" t="s">
        <v>45</v>
      </c>
      <c r="R17" s="4" t="s">
        <v>45</v>
      </c>
      <c r="S17" s="4" t="s">
        <v>45</v>
      </c>
      <c r="T17" s="4" t="s">
        <v>45</v>
      </c>
      <c r="U17" s="4" t="s">
        <v>45</v>
      </c>
      <c r="V17" s="4" t="s">
        <v>30</v>
      </c>
      <c r="W17" s="4" t="s">
        <v>30</v>
      </c>
      <c r="X17" s="4" t="s">
        <v>30</v>
      </c>
      <c r="Y17" s="4" t="s">
        <v>30</v>
      </c>
      <c r="Z17" s="4" t="s">
        <v>30</v>
      </c>
      <c r="AA17" s="10" t="s">
        <v>64</v>
      </c>
      <c r="AB17" s="10"/>
      <c r="AC17" s="3" t="s">
        <v>63</v>
      </c>
      <c r="AD17" s="73"/>
      <c r="AE17" s="17"/>
    </row>
    <row r="18" spans="2:32" ht="20.100000000000001" customHeight="1" x14ac:dyDescent="0.15">
      <c r="B18" s="16">
        <f t="shared" si="0"/>
        <v>14</v>
      </c>
      <c r="C18" s="26">
        <v>2022</v>
      </c>
      <c r="D18" s="26"/>
      <c r="E18" s="3" t="s">
        <v>142</v>
      </c>
      <c r="F18" s="3" t="s">
        <v>25</v>
      </c>
      <c r="G18" s="4"/>
      <c r="H18" s="4" t="s">
        <v>40</v>
      </c>
      <c r="I18" s="4" t="s">
        <v>8</v>
      </c>
      <c r="J18" s="4"/>
      <c r="K18" s="38">
        <v>22000</v>
      </c>
      <c r="L18" s="40">
        <v>21000</v>
      </c>
      <c r="M18" s="4" t="s">
        <v>51</v>
      </c>
      <c r="N18" s="5" t="s">
        <v>28</v>
      </c>
      <c r="O18" s="3"/>
      <c r="P18" s="5" t="s">
        <v>45</v>
      </c>
      <c r="Q18" s="4" t="s">
        <v>45</v>
      </c>
      <c r="R18" s="4" t="s">
        <v>45</v>
      </c>
      <c r="S18" s="4" t="s">
        <v>45</v>
      </c>
      <c r="T18" s="4" t="s">
        <v>45</v>
      </c>
      <c r="U18" s="4" t="s">
        <v>45</v>
      </c>
      <c r="V18" s="4" t="s">
        <v>30</v>
      </c>
      <c r="W18" s="4" t="s">
        <v>30</v>
      </c>
      <c r="X18" s="4" t="s">
        <v>30</v>
      </c>
      <c r="Y18" s="4" t="s">
        <v>30</v>
      </c>
      <c r="Z18" s="4" t="s">
        <v>30</v>
      </c>
      <c r="AA18" s="10" t="s">
        <v>139</v>
      </c>
      <c r="AB18" s="10"/>
      <c r="AC18" s="3" t="s">
        <v>140</v>
      </c>
      <c r="AD18" s="73"/>
      <c r="AE18" s="17"/>
    </row>
    <row r="19" spans="2:32" ht="20.100000000000001" customHeight="1" x14ac:dyDescent="0.15">
      <c r="B19" s="16">
        <f t="shared" si="0"/>
        <v>15</v>
      </c>
      <c r="C19" s="26">
        <v>2022</v>
      </c>
      <c r="D19" s="26"/>
      <c r="E19" s="3" t="s">
        <v>46</v>
      </c>
      <c r="F19" s="3" t="s">
        <v>26</v>
      </c>
      <c r="G19" s="4"/>
      <c r="H19" s="4" t="s">
        <v>40</v>
      </c>
      <c r="I19" s="4" t="s">
        <v>8</v>
      </c>
      <c r="J19" s="4"/>
      <c r="K19" s="38">
        <v>13000</v>
      </c>
      <c r="L19" s="40">
        <v>12000</v>
      </c>
      <c r="M19" s="4" t="s">
        <v>51</v>
      </c>
      <c r="N19" s="5" t="s">
        <v>28</v>
      </c>
      <c r="O19" s="29" t="s">
        <v>84</v>
      </c>
      <c r="P19" s="5" t="s">
        <v>45</v>
      </c>
      <c r="Q19" s="4" t="s">
        <v>45</v>
      </c>
      <c r="R19" s="4" t="s">
        <v>45</v>
      </c>
      <c r="S19" s="4" t="s">
        <v>45</v>
      </c>
      <c r="T19" s="4" t="s">
        <v>45</v>
      </c>
      <c r="U19" s="4" t="s">
        <v>45</v>
      </c>
      <c r="V19" s="4" t="s">
        <v>45</v>
      </c>
      <c r="W19" s="4" t="s">
        <v>30</v>
      </c>
      <c r="X19" s="4" t="s">
        <v>30</v>
      </c>
      <c r="Y19" s="4" t="s">
        <v>30</v>
      </c>
      <c r="Z19" s="4" t="s">
        <v>45</v>
      </c>
      <c r="AA19" s="10" t="s">
        <v>61</v>
      </c>
      <c r="AB19" s="10"/>
      <c r="AC19" s="3" t="s">
        <v>59</v>
      </c>
      <c r="AD19" s="73"/>
      <c r="AE19" s="17"/>
    </row>
    <row r="20" spans="2:32" ht="20.100000000000001" customHeight="1" x14ac:dyDescent="0.15">
      <c r="B20" s="16">
        <f t="shared" si="0"/>
        <v>16</v>
      </c>
      <c r="C20" s="26">
        <v>2022</v>
      </c>
      <c r="D20" s="26"/>
      <c r="E20" s="3" t="s">
        <v>47</v>
      </c>
      <c r="F20" s="3" t="s">
        <v>27</v>
      </c>
      <c r="G20" s="4"/>
      <c r="H20" s="4" t="s">
        <v>40</v>
      </c>
      <c r="I20" s="4" t="s">
        <v>8</v>
      </c>
      <c r="J20" s="4"/>
      <c r="K20" s="38">
        <v>16500</v>
      </c>
      <c r="L20" s="40">
        <v>15500</v>
      </c>
      <c r="M20" s="4" t="s">
        <v>51</v>
      </c>
      <c r="N20" s="5" t="s">
        <v>28</v>
      </c>
      <c r="O20" s="29" t="s">
        <v>83</v>
      </c>
      <c r="P20" s="5" t="s">
        <v>45</v>
      </c>
      <c r="Q20" s="4" t="s">
        <v>45</v>
      </c>
      <c r="R20" s="4" t="s">
        <v>45</v>
      </c>
      <c r="S20" s="4" t="s">
        <v>45</v>
      </c>
      <c r="T20" s="4" t="s">
        <v>45</v>
      </c>
      <c r="U20" s="4" t="s">
        <v>45</v>
      </c>
      <c r="V20" s="4" t="s">
        <v>45</v>
      </c>
      <c r="W20" s="4" t="s">
        <v>30</v>
      </c>
      <c r="X20" s="4" t="s">
        <v>30</v>
      </c>
      <c r="Y20" s="4" t="s">
        <v>30</v>
      </c>
      <c r="Z20" s="4" t="s">
        <v>45</v>
      </c>
      <c r="AA20" s="10" t="s">
        <v>61</v>
      </c>
      <c r="AB20" s="10"/>
      <c r="AC20" s="29" t="s">
        <v>60</v>
      </c>
      <c r="AD20" s="74"/>
      <c r="AE20" s="17"/>
    </row>
    <row r="21" spans="2:32" ht="20.100000000000001" customHeight="1" x14ac:dyDescent="0.15">
      <c r="B21" s="16">
        <f t="shared" si="0"/>
        <v>17</v>
      </c>
      <c r="C21" s="26">
        <v>2022</v>
      </c>
      <c r="D21" s="50"/>
      <c r="E21" s="3" t="s">
        <v>54</v>
      </c>
      <c r="F21" s="28" t="s">
        <v>67</v>
      </c>
      <c r="G21" s="61"/>
      <c r="H21" s="42" t="s">
        <v>40</v>
      </c>
      <c r="I21" s="42" t="s">
        <v>55</v>
      </c>
      <c r="J21" s="42"/>
      <c r="K21" s="43">
        <v>120000</v>
      </c>
      <c r="L21" s="44"/>
      <c r="M21" s="42" t="s">
        <v>74</v>
      </c>
      <c r="N21" s="45" t="s">
        <v>28</v>
      </c>
      <c r="O21" s="46"/>
      <c r="P21" s="45" t="s">
        <v>30</v>
      </c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7"/>
      <c r="AB21" s="47"/>
      <c r="AC21" s="46"/>
      <c r="AD21" s="71"/>
      <c r="AE21" s="48"/>
    </row>
    <row r="22" spans="2:32" customFormat="1" ht="20.100000000000001" customHeight="1" x14ac:dyDescent="0.15">
      <c r="B22" s="16">
        <f t="shared" si="0"/>
        <v>18</v>
      </c>
      <c r="C22" s="26" t="s">
        <v>109</v>
      </c>
      <c r="D22" s="26">
        <v>1</v>
      </c>
      <c r="E22" s="3" t="s">
        <v>89</v>
      </c>
      <c r="F22" s="24" t="s">
        <v>68</v>
      </c>
      <c r="G22" s="59"/>
      <c r="H22" s="4" t="s">
        <v>40</v>
      </c>
      <c r="I22" s="4" t="s">
        <v>8</v>
      </c>
      <c r="J22" s="4"/>
      <c r="K22" s="38">
        <v>16500</v>
      </c>
      <c r="L22" s="40">
        <v>16000</v>
      </c>
      <c r="M22" s="4" t="s">
        <v>51</v>
      </c>
      <c r="N22" s="5" t="s">
        <v>28</v>
      </c>
      <c r="O22" s="29" t="s">
        <v>101</v>
      </c>
      <c r="P22" s="5" t="s">
        <v>45</v>
      </c>
      <c r="Q22" s="4" t="s">
        <v>45</v>
      </c>
      <c r="R22" s="4" t="s">
        <v>45</v>
      </c>
      <c r="S22" s="4" t="s">
        <v>30</v>
      </c>
      <c r="T22" s="4" t="s">
        <v>30</v>
      </c>
      <c r="U22" s="4" t="s">
        <v>45</v>
      </c>
      <c r="V22" s="4" t="s">
        <v>45</v>
      </c>
      <c r="W22" s="4" t="s">
        <v>30</v>
      </c>
      <c r="X22" s="4" t="s">
        <v>30</v>
      </c>
      <c r="Y22" s="4" t="s">
        <v>30</v>
      </c>
      <c r="Z22" s="4" t="s">
        <v>30</v>
      </c>
      <c r="AA22" s="49" t="s">
        <v>143</v>
      </c>
      <c r="AB22" s="49"/>
      <c r="AC22" s="29" t="s">
        <v>141</v>
      </c>
      <c r="AD22" s="74"/>
      <c r="AE22" s="18" t="s">
        <v>151</v>
      </c>
      <c r="AF22" s="13"/>
    </row>
    <row r="23" spans="2:32" customFormat="1" ht="20.100000000000001" customHeight="1" x14ac:dyDescent="0.15">
      <c r="B23" s="16">
        <f t="shared" si="0"/>
        <v>19</v>
      </c>
      <c r="C23" s="26" t="s">
        <v>109</v>
      </c>
      <c r="D23" s="26"/>
      <c r="E23" s="3" t="s">
        <v>90</v>
      </c>
      <c r="F23" s="24" t="s">
        <v>69</v>
      </c>
      <c r="G23" s="59"/>
      <c r="H23" s="4" t="s">
        <v>40</v>
      </c>
      <c r="I23" s="4" t="s">
        <v>55</v>
      </c>
      <c r="J23" s="4"/>
      <c r="K23" s="38">
        <v>80000</v>
      </c>
      <c r="L23" s="40"/>
      <c r="M23" s="4" t="s">
        <v>74</v>
      </c>
      <c r="N23" s="4" t="s">
        <v>28</v>
      </c>
      <c r="O23" s="29" t="s">
        <v>78</v>
      </c>
      <c r="P23" s="5" t="s">
        <v>30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10"/>
      <c r="AB23" s="10"/>
      <c r="AC23" s="7"/>
      <c r="AD23" s="72"/>
      <c r="AE23" s="19"/>
    </row>
    <row r="24" spans="2:32" ht="20.100000000000001" customHeight="1" x14ac:dyDescent="0.15">
      <c r="B24" s="16">
        <f t="shared" si="0"/>
        <v>20</v>
      </c>
      <c r="C24" s="26">
        <v>2022</v>
      </c>
      <c r="D24" s="26"/>
      <c r="E24" s="3" t="s">
        <v>129</v>
      </c>
      <c r="F24" s="24" t="s">
        <v>70</v>
      </c>
      <c r="G24" s="59"/>
      <c r="H24" s="4" t="s">
        <v>56</v>
      </c>
      <c r="I24" s="4" t="s">
        <v>8</v>
      </c>
      <c r="J24" s="4"/>
      <c r="K24" s="38">
        <v>130000</v>
      </c>
      <c r="L24" s="40">
        <v>123000</v>
      </c>
      <c r="M24" s="4" t="s">
        <v>51</v>
      </c>
      <c r="N24" s="4" t="s">
        <v>28</v>
      </c>
      <c r="O24" s="29" t="s">
        <v>77</v>
      </c>
      <c r="P24" s="5" t="s">
        <v>45</v>
      </c>
      <c r="Q24" s="4" t="s">
        <v>45</v>
      </c>
      <c r="R24" s="4" t="s">
        <v>45</v>
      </c>
      <c r="S24" s="4" t="s">
        <v>45</v>
      </c>
      <c r="T24" s="4" t="s">
        <v>45</v>
      </c>
      <c r="U24" s="4" t="s">
        <v>45</v>
      </c>
      <c r="V24" s="4" t="s">
        <v>45</v>
      </c>
      <c r="W24" s="4" t="s">
        <v>30</v>
      </c>
      <c r="X24" s="4" t="s">
        <v>45</v>
      </c>
      <c r="Y24" s="4" t="s">
        <v>45</v>
      </c>
      <c r="Z24" s="4" t="s">
        <v>30</v>
      </c>
      <c r="AA24" s="10" t="s">
        <v>93</v>
      </c>
      <c r="AB24" s="10"/>
      <c r="AC24" s="3" t="s">
        <v>92</v>
      </c>
      <c r="AD24" s="73"/>
      <c r="AE24" s="17"/>
    </row>
    <row r="25" spans="2:32" customFormat="1" ht="20.100000000000001" customHeight="1" x14ac:dyDescent="0.15">
      <c r="B25" s="16">
        <f t="shared" si="0"/>
        <v>21</v>
      </c>
      <c r="C25" s="57" t="s">
        <v>109</v>
      </c>
      <c r="D25" s="26">
        <v>1</v>
      </c>
      <c r="E25" s="3" t="s">
        <v>225</v>
      </c>
      <c r="F25" s="24" t="s">
        <v>71</v>
      </c>
      <c r="G25" s="59" t="s">
        <v>191</v>
      </c>
      <c r="H25" s="4" t="s">
        <v>56</v>
      </c>
      <c r="I25" s="60" t="s">
        <v>8</v>
      </c>
      <c r="J25" s="4">
        <v>2024.1</v>
      </c>
      <c r="K25" s="38">
        <v>175000</v>
      </c>
      <c r="L25" s="40">
        <v>170000</v>
      </c>
      <c r="M25" s="4" t="s">
        <v>51</v>
      </c>
      <c r="N25" s="5" t="s">
        <v>29</v>
      </c>
      <c r="O25" s="29" t="s">
        <v>104</v>
      </c>
      <c r="P25" s="5" t="s">
        <v>45</v>
      </c>
      <c r="Q25" s="4" t="s">
        <v>30</v>
      </c>
      <c r="R25" s="4" t="s">
        <v>45</v>
      </c>
      <c r="S25" s="4" t="s">
        <v>30</v>
      </c>
      <c r="T25" s="4" t="s">
        <v>30</v>
      </c>
      <c r="U25" s="4" t="s">
        <v>45</v>
      </c>
      <c r="V25" s="4" t="s">
        <v>30</v>
      </c>
      <c r="W25" s="4" t="s">
        <v>30</v>
      </c>
      <c r="X25" s="4" t="s">
        <v>30</v>
      </c>
      <c r="Y25" s="4" t="s">
        <v>30</v>
      </c>
      <c r="Z25" s="4" t="s">
        <v>30</v>
      </c>
      <c r="AA25" s="10"/>
      <c r="AB25" s="10"/>
      <c r="AC25" s="3"/>
      <c r="AD25" s="73" t="s">
        <v>30</v>
      </c>
      <c r="AE25" s="19"/>
    </row>
    <row r="26" spans="2:32" customFormat="1" ht="20.100000000000001" customHeight="1" x14ac:dyDescent="0.15">
      <c r="B26" s="16">
        <f t="shared" si="0"/>
        <v>22</v>
      </c>
      <c r="C26" s="26" t="s">
        <v>109</v>
      </c>
      <c r="D26" s="26">
        <v>2023.2</v>
      </c>
      <c r="E26" s="3" t="s">
        <v>146</v>
      </c>
      <c r="F26" s="24" t="s">
        <v>72</v>
      </c>
      <c r="G26" s="59"/>
      <c r="H26" s="4" t="s">
        <v>40</v>
      </c>
      <c r="I26" s="4" t="s">
        <v>8</v>
      </c>
      <c r="J26" s="4"/>
      <c r="K26" s="38">
        <v>300000</v>
      </c>
      <c r="L26" s="40">
        <v>239153</v>
      </c>
      <c r="M26" s="4" t="s">
        <v>51</v>
      </c>
      <c r="N26" s="5" t="s">
        <v>29</v>
      </c>
      <c r="O26" s="29" t="s">
        <v>100</v>
      </c>
      <c r="P26" s="5" t="s">
        <v>45</v>
      </c>
      <c r="Q26" s="4" t="s">
        <v>45</v>
      </c>
      <c r="R26" s="4" t="s">
        <v>30</v>
      </c>
      <c r="S26" s="4" t="s">
        <v>45</v>
      </c>
      <c r="T26" s="4" t="s">
        <v>45</v>
      </c>
      <c r="U26" s="4" t="s">
        <v>45</v>
      </c>
      <c r="V26" s="4"/>
      <c r="W26" s="4"/>
      <c r="X26" s="4"/>
      <c r="Y26" s="4"/>
      <c r="Z26" s="4"/>
      <c r="AA26" s="10"/>
      <c r="AB26" s="10"/>
      <c r="AC26" s="7"/>
      <c r="AD26" s="75"/>
      <c r="AE26" s="19"/>
    </row>
    <row r="27" spans="2:32" ht="20.100000000000001" customHeight="1" x14ac:dyDescent="0.15">
      <c r="B27" s="16">
        <f t="shared" si="0"/>
        <v>23</v>
      </c>
      <c r="C27" s="57">
        <v>2024</v>
      </c>
      <c r="D27" s="26"/>
      <c r="E27" s="3" t="s">
        <v>226</v>
      </c>
      <c r="F27" s="24" t="s">
        <v>73</v>
      </c>
      <c r="G27" s="59" t="s">
        <v>191</v>
      </c>
      <c r="H27" s="4" t="s">
        <v>40</v>
      </c>
      <c r="I27" s="60" t="s">
        <v>199</v>
      </c>
      <c r="J27" s="4"/>
      <c r="K27" s="38">
        <v>2000000</v>
      </c>
      <c r="L27" s="40">
        <v>1720000</v>
      </c>
      <c r="M27" s="4" t="s">
        <v>91</v>
      </c>
      <c r="N27" s="5" t="s">
        <v>29</v>
      </c>
      <c r="O27" s="29" t="s">
        <v>300</v>
      </c>
      <c r="P27" s="5" t="s">
        <v>45</v>
      </c>
      <c r="Q27" s="4" t="s">
        <v>30</v>
      </c>
      <c r="R27" s="4" t="s">
        <v>30</v>
      </c>
      <c r="S27" s="4"/>
      <c r="T27" s="4"/>
      <c r="U27" s="4"/>
      <c r="V27" s="4"/>
      <c r="W27" s="4"/>
      <c r="X27" s="4"/>
      <c r="Y27" s="4"/>
      <c r="Z27" s="4"/>
      <c r="AA27" s="10"/>
      <c r="AB27" s="10"/>
      <c r="AC27" s="3"/>
      <c r="AD27" s="73"/>
      <c r="AE27" s="17"/>
    </row>
    <row r="28" spans="2:32" customFormat="1" ht="20.100000000000001" customHeight="1" x14ac:dyDescent="0.15">
      <c r="B28" s="16">
        <f t="shared" si="0"/>
        <v>24</v>
      </c>
      <c r="C28" s="26" t="s">
        <v>109</v>
      </c>
      <c r="D28" s="26">
        <v>2023.1</v>
      </c>
      <c r="E28" s="3" t="s">
        <v>95</v>
      </c>
      <c r="F28" s="24" t="s">
        <v>96</v>
      </c>
      <c r="G28" s="59"/>
      <c r="H28" s="4" t="s">
        <v>40</v>
      </c>
      <c r="I28" s="4" t="s">
        <v>94</v>
      </c>
      <c r="J28" s="4"/>
      <c r="K28" s="38">
        <v>90000</v>
      </c>
      <c r="L28" s="40">
        <v>71063</v>
      </c>
      <c r="M28" s="4" t="s">
        <v>74</v>
      </c>
      <c r="N28" s="5" t="s">
        <v>29</v>
      </c>
      <c r="O28" s="29" t="s">
        <v>99</v>
      </c>
      <c r="P28" s="5" t="s">
        <v>45</v>
      </c>
      <c r="Q28" s="4" t="s">
        <v>30</v>
      </c>
      <c r="R28" s="4" t="s">
        <v>30</v>
      </c>
      <c r="S28" s="4" t="s">
        <v>45</v>
      </c>
      <c r="T28" s="4" t="s">
        <v>45</v>
      </c>
      <c r="U28" s="4" t="s">
        <v>45</v>
      </c>
      <c r="V28" s="4"/>
      <c r="W28" s="4"/>
      <c r="X28" s="4"/>
      <c r="Y28" s="4"/>
      <c r="Z28" s="4"/>
      <c r="AA28" s="10" t="s">
        <v>135</v>
      </c>
      <c r="AB28" s="10"/>
      <c r="AC28" s="3" t="s">
        <v>130</v>
      </c>
      <c r="AD28" s="70"/>
      <c r="AE28" s="19"/>
    </row>
    <row r="29" spans="2:32" customFormat="1" ht="20.100000000000001" customHeight="1" x14ac:dyDescent="0.15">
      <c r="B29" s="16">
        <f t="shared" si="0"/>
        <v>25</v>
      </c>
      <c r="C29" s="4">
        <v>2022</v>
      </c>
      <c r="D29" s="4"/>
      <c r="E29" s="3" t="s">
        <v>215</v>
      </c>
      <c r="F29" s="24" t="s">
        <v>106</v>
      </c>
      <c r="G29" s="59"/>
      <c r="H29" s="4" t="s">
        <v>40</v>
      </c>
      <c r="I29" s="4" t="s">
        <v>8</v>
      </c>
      <c r="J29" s="4"/>
      <c r="K29" s="38">
        <v>300000</v>
      </c>
      <c r="L29" s="40">
        <v>290000</v>
      </c>
      <c r="M29" s="4" t="s">
        <v>51</v>
      </c>
      <c r="N29" s="5" t="s">
        <v>119</v>
      </c>
      <c r="O29" s="29" t="s">
        <v>108</v>
      </c>
      <c r="P29" s="5"/>
      <c r="Q29" s="4" t="s">
        <v>45</v>
      </c>
      <c r="R29" s="4" t="s">
        <v>45</v>
      </c>
      <c r="S29" s="4" t="s">
        <v>45</v>
      </c>
      <c r="T29" s="4" t="s">
        <v>45</v>
      </c>
      <c r="U29" s="4" t="s">
        <v>45</v>
      </c>
      <c r="V29" s="4" t="s">
        <v>30</v>
      </c>
      <c r="W29" s="4"/>
      <c r="X29" s="4" t="s">
        <v>30</v>
      </c>
      <c r="Y29" s="4" t="s">
        <v>30</v>
      </c>
      <c r="Z29" s="4" t="s">
        <v>30</v>
      </c>
      <c r="AA29" s="10"/>
      <c r="AB29" s="10"/>
      <c r="AC29" s="3" t="s">
        <v>107</v>
      </c>
      <c r="AD29" s="73"/>
      <c r="AE29" s="19"/>
    </row>
    <row r="30" spans="2:32" ht="20.100000000000001" customHeight="1" x14ac:dyDescent="0.15">
      <c r="B30" s="16">
        <f t="shared" si="0"/>
        <v>26</v>
      </c>
      <c r="C30" s="57" t="s">
        <v>174</v>
      </c>
      <c r="D30" s="26">
        <v>2023.6</v>
      </c>
      <c r="E30" s="3" t="s">
        <v>298</v>
      </c>
      <c r="F30" s="3" t="s">
        <v>120</v>
      </c>
      <c r="G30" s="4" t="s">
        <v>191</v>
      </c>
      <c r="H30" s="4" t="s">
        <v>40</v>
      </c>
      <c r="I30" s="60" t="s">
        <v>152</v>
      </c>
      <c r="J30" s="4"/>
      <c r="K30" s="38">
        <v>160000</v>
      </c>
      <c r="L30" s="40">
        <v>152000</v>
      </c>
      <c r="M30" s="4" t="s">
        <v>91</v>
      </c>
      <c r="N30" s="5" t="s">
        <v>111</v>
      </c>
      <c r="O30" s="29" t="s">
        <v>173</v>
      </c>
      <c r="P30" s="5" t="s">
        <v>30</v>
      </c>
      <c r="Q30" s="4" t="s">
        <v>30</v>
      </c>
      <c r="R30" s="4" t="s">
        <v>45</v>
      </c>
      <c r="S30" s="4" t="s">
        <v>45</v>
      </c>
      <c r="T30" s="4" t="s">
        <v>30</v>
      </c>
      <c r="U30" s="4" t="s">
        <v>45</v>
      </c>
      <c r="V30" s="4"/>
      <c r="W30" s="4" t="s">
        <v>30</v>
      </c>
      <c r="X30" s="4" t="s">
        <v>30</v>
      </c>
      <c r="Y30" s="4" t="s">
        <v>30</v>
      </c>
      <c r="Z30" s="4"/>
      <c r="AA30" s="10"/>
      <c r="AB30" s="10"/>
      <c r="AC30" s="3"/>
      <c r="AD30" s="73"/>
      <c r="AE30" s="17"/>
    </row>
    <row r="31" spans="2:32" customFormat="1" ht="20.100000000000001" customHeight="1" x14ac:dyDescent="0.15">
      <c r="B31" s="16">
        <f t="shared" si="0"/>
        <v>27</v>
      </c>
      <c r="C31" s="57">
        <v>2023</v>
      </c>
      <c r="D31" s="26">
        <v>2023.6</v>
      </c>
      <c r="E31" s="3" t="s">
        <v>220</v>
      </c>
      <c r="F31" s="3" t="s">
        <v>200</v>
      </c>
      <c r="G31" s="4" t="s">
        <v>191</v>
      </c>
      <c r="H31" s="4" t="s">
        <v>40</v>
      </c>
      <c r="I31" s="4" t="s">
        <v>8</v>
      </c>
      <c r="J31" s="4">
        <v>2024.3</v>
      </c>
      <c r="K31" s="38">
        <v>80000</v>
      </c>
      <c r="L31" s="40">
        <v>69000</v>
      </c>
      <c r="M31" s="4" t="s">
        <v>51</v>
      </c>
      <c r="N31" s="5" t="s">
        <v>28</v>
      </c>
      <c r="O31" s="3" t="s">
        <v>149</v>
      </c>
      <c r="P31" s="5" t="s">
        <v>30</v>
      </c>
      <c r="Q31" s="4" t="s">
        <v>30</v>
      </c>
      <c r="R31" s="4" t="s">
        <v>45</v>
      </c>
      <c r="S31" s="4" t="s">
        <v>45</v>
      </c>
      <c r="T31" s="4" t="s">
        <v>30</v>
      </c>
      <c r="U31" s="4" t="s">
        <v>45</v>
      </c>
      <c r="V31" s="4" t="s">
        <v>30</v>
      </c>
      <c r="W31" s="4" t="s">
        <v>30</v>
      </c>
      <c r="X31" s="4" t="s">
        <v>30</v>
      </c>
      <c r="Y31" s="4" t="s">
        <v>30</v>
      </c>
      <c r="Z31" s="4" t="s">
        <v>30</v>
      </c>
      <c r="AA31" s="10" t="s">
        <v>198</v>
      </c>
      <c r="AB31" s="10"/>
      <c r="AC31" s="3" t="s">
        <v>176</v>
      </c>
      <c r="AD31" s="73" t="s">
        <v>30</v>
      </c>
      <c r="AE31" s="19"/>
    </row>
    <row r="32" spans="2:32" ht="20.100000000000001" customHeight="1" x14ac:dyDescent="0.15">
      <c r="B32" s="16">
        <f t="shared" si="0"/>
        <v>28</v>
      </c>
      <c r="C32" s="26">
        <v>2023</v>
      </c>
      <c r="D32" s="26">
        <v>2024.12</v>
      </c>
      <c r="E32" s="3" t="s">
        <v>316</v>
      </c>
      <c r="F32" s="24" t="s">
        <v>121</v>
      </c>
      <c r="G32" s="59" t="s">
        <v>191</v>
      </c>
      <c r="H32" s="4" t="s">
        <v>40</v>
      </c>
      <c r="I32" s="60" t="s">
        <v>43</v>
      </c>
      <c r="J32" s="4"/>
      <c r="K32" s="38">
        <v>180000</v>
      </c>
      <c r="L32" s="40">
        <v>470000</v>
      </c>
      <c r="M32" s="4" t="s">
        <v>91</v>
      </c>
      <c r="N32" s="5" t="s">
        <v>128</v>
      </c>
      <c r="O32" s="3" t="s">
        <v>315</v>
      </c>
      <c r="P32" s="5" t="s">
        <v>30</v>
      </c>
      <c r="Q32" s="4" t="s">
        <v>30</v>
      </c>
      <c r="R32" s="4" t="s">
        <v>30</v>
      </c>
      <c r="S32" s="4"/>
      <c r="T32" s="4"/>
      <c r="U32" s="4"/>
      <c r="V32" s="4"/>
      <c r="W32" s="4"/>
      <c r="X32" s="4"/>
      <c r="Y32" s="4"/>
      <c r="Z32" s="4"/>
      <c r="AA32" s="10"/>
      <c r="AB32" s="10"/>
      <c r="AC32" s="3"/>
      <c r="AD32" s="73"/>
      <c r="AE32" s="17"/>
    </row>
    <row r="33" spans="2:31" customFormat="1" ht="20.100000000000001" customHeight="1" x14ac:dyDescent="0.15">
      <c r="B33" s="16">
        <f t="shared" si="0"/>
        <v>29</v>
      </c>
      <c r="C33" s="26">
        <v>2023</v>
      </c>
      <c r="D33" s="26"/>
      <c r="E33" s="3" t="s">
        <v>116</v>
      </c>
      <c r="F33" s="24" t="s">
        <v>122</v>
      </c>
      <c r="G33" s="59"/>
      <c r="H33" s="4" t="s">
        <v>40</v>
      </c>
      <c r="I33" s="4"/>
      <c r="J33" s="4"/>
      <c r="K33" s="38">
        <v>350000</v>
      </c>
      <c r="L33" s="40"/>
      <c r="M33" s="4" t="s">
        <v>115</v>
      </c>
      <c r="N33" s="5" t="s">
        <v>114</v>
      </c>
      <c r="O33" s="3"/>
      <c r="P33" s="5"/>
      <c r="Q33" s="4"/>
      <c r="R33" s="4"/>
      <c r="S33" s="4"/>
      <c r="T33" s="4"/>
      <c r="U33" s="4"/>
      <c r="V33" s="4"/>
      <c r="W33" s="4"/>
      <c r="X33" s="4"/>
      <c r="Y33" s="4"/>
      <c r="Z33" s="4"/>
      <c r="AA33" s="10"/>
      <c r="AB33" s="10"/>
      <c r="AC33" s="7"/>
      <c r="AD33" s="72"/>
      <c r="AE33" s="19"/>
    </row>
    <row r="34" spans="2:31" customFormat="1" ht="20.100000000000001" customHeight="1" x14ac:dyDescent="0.15">
      <c r="B34" s="16">
        <f t="shared" si="0"/>
        <v>30</v>
      </c>
      <c r="C34" s="26">
        <v>2023</v>
      </c>
      <c r="D34" s="26"/>
      <c r="E34" s="3" t="s">
        <v>117</v>
      </c>
      <c r="F34" s="24" t="s">
        <v>123</v>
      </c>
      <c r="G34" s="59"/>
      <c r="H34" s="4" t="s">
        <v>40</v>
      </c>
      <c r="I34" s="4"/>
      <c r="J34" s="4"/>
      <c r="K34" s="38">
        <v>100000</v>
      </c>
      <c r="L34" s="40"/>
      <c r="M34" s="4" t="s">
        <v>115</v>
      </c>
      <c r="N34" s="5" t="s">
        <v>114</v>
      </c>
      <c r="O34" s="3"/>
      <c r="P34" s="5"/>
      <c r="Q34" s="4"/>
      <c r="R34" s="4"/>
      <c r="S34" s="4"/>
      <c r="T34" s="4"/>
      <c r="U34" s="4"/>
      <c r="V34" s="4"/>
      <c r="W34" s="4"/>
      <c r="X34" s="4"/>
      <c r="Y34" s="4"/>
      <c r="Z34" s="4"/>
      <c r="AA34" s="10"/>
      <c r="AB34" s="10"/>
      <c r="AC34" s="7"/>
      <c r="AD34" s="72"/>
      <c r="AE34" s="19"/>
    </row>
    <row r="35" spans="2:31" ht="20.100000000000001" customHeight="1" x14ac:dyDescent="0.15">
      <c r="B35" s="16">
        <f t="shared" si="0"/>
        <v>31</v>
      </c>
      <c r="C35" s="26">
        <v>2023</v>
      </c>
      <c r="D35" s="26"/>
      <c r="E35" s="3" t="s">
        <v>333</v>
      </c>
      <c r="F35" s="24" t="s">
        <v>334</v>
      </c>
      <c r="G35" s="59" t="s">
        <v>195</v>
      </c>
      <c r="H35" s="4" t="s">
        <v>40</v>
      </c>
      <c r="I35" s="60" t="s">
        <v>55</v>
      </c>
      <c r="J35" s="4"/>
      <c r="K35" s="38">
        <v>120000</v>
      </c>
      <c r="L35" s="40"/>
      <c r="M35" s="4" t="s">
        <v>91</v>
      </c>
      <c r="N35" s="5" t="s">
        <v>114</v>
      </c>
      <c r="O35" s="3"/>
      <c r="P35" s="5" t="s">
        <v>45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10"/>
      <c r="AB35" s="10"/>
      <c r="AC35" s="3"/>
      <c r="AD35" s="73"/>
      <c r="AE35" s="17"/>
    </row>
    <row r="36" spans="2:31" customFormat="1" ht="20.100000000000001" customHeight="1" x14ac:dyDescent="0.15">
      <c r="B36" s="16">
        <f t="shared" si="0"/>
        <v>32</v>
      </c>
      <c r="C36" s="26">
        <v>2023</v>
      </c>
      <c r="D36" s="26"/>
      <c r="E36" s="3" t="s">
        <v>118</v>
      </c>
      <c r="F36" s="24" t="s">
        <v>124</v>
      </c>
      <c r="G36" s="59"/>
      <c r="H36" s="4" t="s">
        <v>40</v>
      </c>
      <c r="I36" s="4"/>
      <c r="J36" s="4"/>
      <c r="K36" s="38">
        <v>200000</v>
      </c>
      <c r="L36" s="40"/>
      <c r="M36" s="4" t="s">
        <v>115</v>
      </c>
      <c r="N36" s="5" t="s">
        <v>114</v>
      </c>
      <c r="O36" s="3"/>
      <c r="P36" s="5"/>
      <c r="Q36" s="4"/>
      <c r="R36" s="4"/>
      <c r="S36" s="4"/>
      <c r="T36" s="4"/>
      <c r="U36" s="4"/>
      <c r="V36" s="4"/>
      <c r="W36" s="4"/>
      <c r="X36" s="4"/>
      <c r="Y36" s="4"/>
      <c r="Z36" s="4"/>
      <c r="AA36" s="10"/>
      <c r="AB36" s="10"/>
      <c r="AC36" s="7"/>
      <c r="AD36" s="72"/>
      <c r="AE36" s="19"/>
    </row>
    <row r="37" spans="2:31" customFormat="1" ht="20.100000000000001" customHeight="1" x14ac:dyDescent="0.15">
      <c r="B37" s="16">
        <f t="shared" si="0"/>
        <v>33</v>
      </c>
      <c r="C37" s="26">
        <v>2024</v>
      </c>
      <c r="D37" s="26"/>
      <c r="E37" s="3" t="s">
        <v>232</v>
      </c>
      <c r="F37" s="3" t="s">
        <v>125</v>
      </c>
      <c r="G37" s="4" t="s">
        <v>191</v>
      </c>
      <c r="H37" s="4" t="s">
        <v>40</v>
      </c>
      <c r="I37" s="4" t="s">
        <v>113</v>
      </c>
      <c r="J37" s="4"/>
      <c r="K37" s="38">
        <v>190000</v>
      </c>
      <c r="L37" s="40"/>
      <c r="M37" s="4" t="s">
        <v>74</v>
      </c>
      <c r="N37" s="5" t="s">
        <v>114</v>
      </c>
      <c r="O37" s="3"/>
      <c r="P37" s="5" t="s">
        <v>45</v>
      </c>
      <c r="Q37" s="4" t="s">
        <v>30</v>
      </c>
      <c r="R37" s="4"/>
      <c r="S37" s="4"/>
      <c r="T37" s="4"/>
      <c r="U37" s="4"/>
      <c r="V37" s="4"/>
      <c r="W37" s="4"/>
      <c r="X37" s="4"/>
      <c r="Y37" s="4"/>
      <c r="Z37" s="4"/>
      <c r="AA37" s="10"/>
      <c r="AB37" s="10"/>
      <c r="AC37" s="7"/>
      <c r="AD37" s="75"/>
      <c r="AE37" s="19"/>
    </row>
    <row r="38" spans="2:31" customFormat="1" ht="20.100000000000001" customHeight="1" x14ac:dyDescent="0.15">
      <c r="B38" s="16">
        <f t="shared" si="0"/>
        <v>34</v>
      </c>
      <c r="C38" s="26">
        <v>2023</v>
      </c>
      <c r="D38" s="26">
        <v>2023.3</v>
      </c>
      <c r="E38" s="3" t="s">
        <v>137</v>
      </c>
      <c r="F38" s="24" t="s">
        <v>126</v>
      </c>
      <c r="G38" s="59"/>
      <c r="H38" s="4" t="s">
        <v>40</v>
      </c>
      <c r="I38" s="4" t="s">
        <v>8</v>
      </c>
      <c r="J38" s="4"/>
      <c r="K38" s="38">
        <v>8000</v>
      </c>
      <c r="L38" s="40">
        <v>4730</v>
      </c>
      <c r="M38" s="4" t="s">
        <v>51</v>
      </c>
      <c r="N38" s="5" t="s">
        <v>127</v>
      </c>
      <c r="O38" s="3" t="s">
        <v>144</v>
      </c>
      <c r="P38" s="5" t="s">
        <v>30</v>
      </c>
      <c r="Q38" s="4" t="s">
        <v>45</v>
      </c>
      <c r="R38" s="4" t="s">
        <v>45</v>
      </c>
      <c r="S38" s="4" t="s">
        <v>45</v>
      </c>
      <c r="T38" s="4" t="s">
        <v>45</v>
      </c>
      <c r="U38" s="4" t="s">
        <v>45</v>
      </c>
      <c r="V38" s="4" t="s">
        <v>30</v>
      </c>
      <c r="W38" s="4" t="s">
        <v>30</v>
      </c>
      <c r="X38" s="4" t="s">
        <v>30</v>
      </c>
      <c r="Y38" s="4" t="s">
        <v>30</v>
      </c>
      <c r="Z38" s="4" t="s">
        <v>30</v>
      </c>
      <c r="AA38" s="10" t="s">
        <v>138</v>
      </c>
      <c r="AB38" s="10"/>
      <c r="AC38" s="3" t="s">
        <v>136</v>
      </c>
      <c r="AD38" s="73" t="s">
        <v>30</v>
      </c>
      <c r="AE38" s="19"/>
    </row>
    <row r="39" spans="2:31" customFormat="1" ht="20.100000000000001" customHeight="1" x14ac:dyDescent="0.15">
      <c r="B39" s="16">
        <f t="shared" si="0"/>
        <v>35</v>
      </c>
      <c r="C39" s="26">
        <v>2023</v>
      </c>
      <c r="D39" s="26" t="s">
        <v>175</v>
      </c>
      <c r="E39" s="3" t="s">
        <v>147</v>
      </c>
      <c r="F39" s="3" t="s">
        <v>148</v>
      </c>
      <c r="G39" s="4"/>
      <c r="H39" s="4" t="s">
        <v>56</v>
      </c>
      <c r="I39" s="4" t="s">
        <v>8</v>
      </c>
      <c r="J39" s="4"/>
      <c r="K39" s="38">
        <v>210000</v>
      </c>
      <c r="L39" s="40">
        <v>205500</v>
      </c>
      <c r="M39" s="4" t="s">
        <v>51</v>
      </c>
      <c r="N39" s="5" t="s">
        <v>29</v>
      </c>
      <c r="O39" s="3" t="s">
        <v>150</v>
      </c>
      <c r="P39" s="5" t="s">
        <v>30</v>
      </c>
      <c r="Q39" s="4" t="s">
        <v>30</v>
      </c>
      <c r="R39" s="4" t="s">
        <v>45</v>
      </c>
      <c r="S39" s="4" t="s">
        <v>30</v>
      </c>
      <c r="T39" s="4" t="s">
        <v>45</v>
      </c>
      <c r="U39" s="4" t="s">
        <v>45</v>
      </c>
      <c r="V39" s="4" t="s">
        <v>30</v>
      </c>
      <c r="W39" s="4" t="s">
        <v>30</v>
      </c>
      <c r="X39" s="4" t="s">
        <v>30</v>
      </c>
      <c r="Y39" s="4" t="s">
        <v>30</v>
      </c>
      <c r="Z39" s="4" t="s">
        <v>30</v>
      </c>
      <c r="AA39" s="10"/>
      <c r="AB39" s="10"/>
      <c r="AC39" s="3" t="s">
        <v>277</v>
      </c>
      <c r="AD39" s="75"/>
      <c r="AE39" s="19"/>
    </row>
    <row r="40" spans="2:31" customFormat="1" ht="20.100000000000001" customHeight="1" x14ac:dyDescent="0.15">
      <c r="B40" s="16">
        <f t="shared" si="0"/>
        <v>36</v>
      </c>
      <c r="C40" s="26">
        <v>2023</v>
      </c>
      <c r="D40" s="26"/>
      <c r="E40" s="3" t="s">
        <v>154</v>
      </c>
      <c r="F40" s="3" t="s">
        <v>155</v>
      </c>
      <c r="G40" s="4"/>
      <c r="H40" s="4" t="s">
        <v>40</v>
      </c>
      <c r="I40" s="4" t="s">
        <v>8</v>
      </c>
      <c r="J40" s="4"/>
      <c r="K40" s="38"/>
      <c r="L40" s="40">
        <v>85000</v>
      </c>
      <c r="M40" s="4" t="s">
        <v>51</v>
      </c>
      <c r="N40" s="5" t="s">
        <v>193</v>
      </c>
      <c r="O40" s="3"/>
      <c r="P40" s="5" t="s">
        <v>45</v>
      </c>
      <c r="Q40" s="4" t="s">
        <v>45</v>
      </c>
      <c r="R40" s="4" t="s">
        <v>45</v>
      </c>
      <c r="S40" s="4" t="s">
        <v>45</v>
      </c>
      <c r="T40" s="4" t="s">
        <v>45</v>
      </c>
      <c r="U40" s="4" t="s">
        <v>45</v>
      </c>
      <c r="V40" s="4" t="s">
        <v>45</v>
      </c>
      <c r="W40" s="4" t="s">
        <v>45</v>
      </c>
      <c r="X40" s="4" t="s">
        <v>45</v>
      </c>
      <c r="Y40" s="4" t="s">
        <v>45</v>
      </c>
      <c r="Z40" s="4" t="s">
        <v>30</v>
      </c>
      <c r="AA40" s="10" t="s">
        <v>253</v>
      </c>
      <c r="AB40" s="10"/>
      <c r="AC40" s="3" t="s">
        <v>252</v>
      </c>
      <c r="AD40" s="73"/>
      <c r="AE40" s="19"/>
    </row>
    <row r="41" spans="2:31" customFormat="1" ht="20.100000000000001" customHeight="1" x14ac:dyDescent="0.15">
      <c r="B41" s="16">
        <f t="shared" si="0"/>
        <v>37</v>
      </c>
      <c r="C41" s="57">
        <v>2024</v>
      </c>
      <c r="D41" s="26">
        <v>2024.1</v>
      </c>
      <c r="E41" s="68" t="s">
        <v>299</v>
      </c>
      <c r="F41" s="3" t="s">
        <v>179</v>
      </c>
      <c r="G41" s="4" t="s">
        <v>195</v>
      </c>
      <c r="H41" s="4" t="s">
        <v>40</v>
      </c>
      <c r="I41" s="60" t="s">
        <v>152</v>
      </c>
      <c r="J41" s="4"/>
      <c r="K41" s="38">
        <v>35000</v>
      </c>
      <c r="L41" s="40">
        <v>32000</v>
      </c>
      <c r="M41" s="4" t="s">
        <v>51</v>
      </c>
      <c r="N41" s="5" t="s">
        <v>178</v>
      </c>
      <c r="O41" s="3" t="s">
        <v>188</v>
      </c>
      <c r="P41" s="5" t="s">
        <v>30</v>
      </c>
      <c r="Q41" s="4" t="s">
        <v>30</v>
      </c>
      <c r="R41" s="4" t="s">
        <v>30</v>
      </c>
      <c r="S41" s="4" t="s">
        <v>45</v>
      </c>
      <c r="T41" s="4" t="s">
        <v>45</v>
      </c>
      <c r="U41" s="4" t="s">
        <v>45</v>
      </c>
      <c r="V41" s="4" t="s">
        <v>30</v>
      </c>
      <c r="W41" s="4" t="s">
        <v>30</v>
      </c>
      <c r="X41" s="4" t="s">
        <v>30</v>
      </c>
      <c r="Y41" s="4" t="s">
        <v>30</v>
      </c>
      <c r="Z41" s="4" t="s">
        <v>30</v>
      </c>
      <c r="AA41" s="10" t="s">
        <v>332</v>
      </c>
      <c r="AB41" s="10"/>
      <c r="AC41" s="3" t="s">
        <v>331</v>
      </c>
      <c r="AD41" s="75"/>
      <c r="AE41" s="19"/>
    </row>
    <row r="42" spans="2:31" customFormat="1" ht="20.100000000000001" customHeight="1" x14ac:dyDescent="0.15">
      <c r="B42" s="16">
        <f t="shared" si="0"/>
        <v>38</v>
      </c>
      <c r="C42" s="57">
        <v>2024</v>
      </c>
      <c r="D42" s="26">
        <v>2024.1</v>
      </c>
      <c r="E42" s="68" t="s">
        <v>256</v>
      </c>
      <c r="F42" s="3" t="s">
        <v>180</v>
      </c>
      <c r="G42" s="4" t="s">
        <v>195</v>
      </c>
      <c r="H42" s="4" t="s">
        <v>40</v>
      </c>
      <c r="I42" s="60" t="s">
        <v>8</v>
      </c>
      <c r="J42" s="4">
        <v>2024.5</v>
      </c>
      <c r="K42" s="38"/>
      <c r="L42" s="40">
        <v>16520.849999999999</v>
      </c>
      <c r="M42" s="4" t="s">
        <v>51</v>
      </c>
      <c r="N42" s="5" t="s">
        <v>29</v>
      </c>
      <c r="O42" s="3" t="s">
        <v>209</v>
      </c>
      <c r="P42" s="5" t="s">
        <v>45</v>
      </c>
      <c r="Q42" s="4" t="s">
        <v>45</v>
      </c>
      <c r="R42" s="4" t="s">
        <v>30</v>
      </c>
      <c r="S42" s="4" t="s">
        <v>45</v>
      </c>
      <c r="T42" s="4" t="s">
        <v>45</v>
      </c>
      <c r="U42" s="4" t="s">
        <v>45</v>
      </c>
      <c r="V42" s="4" t="s">
        <v>45</v>
      </c>
      <c r="W42" s="4" t="s">
        <v>30</v>
      </c>
      <c r="X42" s="4" t="s">
        <v>30</v>
      </c>
      <c r="Y42" s="4" t="s">
        <v>30</v>
      </c>
      <c r="Z42" s="4" t="s">
        <v>45</v>
      </c>
      <c r="AA42" s="4" t="s">
        <v>45</v>
      </c>
      <c r="AB42" s="4"/>
      <c r="AC42" s="3" t="s">
        <v>257</v>
      </c>
      <c r="AD42" s="75"/>
      <c r="AE42" s="19"/>
    </row>
    <row r="43" spans="2:31" ht="20.100000000000001" customHeight="1" x14ac:dyDescent="0.15">
      <c r="B43" s="16">
        <f t="shared" si="0"/>
        <v>39</v>
      </c>
      <c r="C43" s="57" t="s">
        <v>197</v>
      </c>
      <c r="D43" s="26">
        <v>2023.12</v>
      </c>
      <c r="E43" s="68" t="s">
        <v>177</v>
      </c>
      <c r="F43" s="3" t="s">
        <v>227</v>
      </c>
      <c r="G43" s="4" t="s">
        <v>195</v>
      </c>
      <c r="H43" s="4" t="s">
        <v>40</v>
      </c>
      <c r="I43" s="60" t="s">
        <v>199</v>
      </c>
      <c r="J43" s="4"/>
      <c r="K43" s="38"/>
      <c r="L43" s="40">
        <v>60000</v>
      </c>
      <c r="M43" s="4" t="s">
        <v>91</v>
      </c>
      <c r="N43" s="5" t="s">
        <v>178</v>
      </c>
      <c r="O43" s="4" t="s">
        <v>231</v>
      </c>
      <c r="P43" s="5" t="s">
        <v>45</v>
      </c>
      <c r="Q43" s="4" t="s">
        <v>45</v>
      </c>
      <c r="R43" s="4" t="s">
        <v>30</v>
      </c>
      <c r="S43" s="4"/>
      <c r="T43" s="4"/>
      <c r="U43" s="4"/>
      <c r="V43" s="4"/>
      <c r="W43" s="4"/>
      <c r="X43" s="4"/>
      <c r="Y43" s="4"/>
      <c r="Z43" s="4"/>
      <c r="AA43" s="10"/>
      <c r="AB43" s="10"/>
      <c r="AC43" s="3"/>
      <c r="AD43" s="73"/>
      <c r="AE43" s="17"/>
    </row>
    <row r="44" spans="2:31" customFormat="1" ht="20.100000000000001" customHeight="1" x14ac:dyDescent="0.15">
      <c r="B44" s="16">
        <f t="shared" si="0"/>
        <v>40</v>
      </c>
      <c r="C44" s="57">
        <v>2024</v>
      </c>
      <c r="D44" s="26">
        <v>2024.1</v>
      </c>
      <c r="E44" s="67" t="s">
        <v>250</v>
      </c>
      <c r="F44" s="3" t="s">
        <v>181</v>
      </c>
      <c r="G44" s="4" t="s">
        <v>195</v>
      </c>
      <c r="H44" s="4" t="s">
        <v>40</v>
      </c>
      <c r="I44" s="60" t="s">
        <v>8</v>
      </c>
      <c r="J44" s="4">
        <v>2024.5</v>
      </c>
      <c r="K44" s="38"/>
      <c r="L44" s="40">
        <v>9433.1370000000006</v>
      </c>
      <c r="M44" s="4" t="s">
        <v>51</v>
      </c>
      <c r="N44" s="5" t="s">
        <v>29</v>
      </c>
      <c r="O44" s="3" t="s">
        <v>210</v>
      </c>
      <c r="P44" s="5" t="s">
        <v>45</v>
      </c>
      <c r="Q44" s="4" t="s">
        <v>45</v>
      </c>
      <c r="R44" s="4" t="s">
        <v>30</v>
      </c>
      <c r="S44" s="4" t="s">
        <v>45</v>
      </c>
      <c r="T44" s="4" t="s">
        <v>45</v>
      </c>
      <c r="U44" s="4" t="s">
        <v>45</v>
      </c>
      <c r="V44" s="4" t="s">
        <v>45</v>
      </c>
      <c r="W44" s="4" t="s">
        <v>30</v>
      </c>
      <c r="X44" s="76" t="s">
        <v>30</v>
      </c>
      <c r="Y44" s="76" t="s">
        <v>30</v>
      </c>
      <c r="Z44" s="4" t="s">
        <v>45</v>
      </c>
      <c r="AA44" s="4" t="s">
        <v>45</v>
      </c>
      <c r="AB44" s="4"/>
      <c r="AC44" s="3" t="s">
        <v>224</v>
      </c>
      <c r="AD44" s="73"/>
      <c r="AE44" s="19"/>
    </row>
    <row r="45" spans="2:31" customFormat="1" ht="20.100000000000001" customHeight="1" x14ac:dyDescent="0.15">
      <c r="B45" s="16">
        <f t="shared" si="0"/>
        <v>41</v>
      </c>
      <c r="C45" s="57">
        <v>2024</v>
      </c>
      <c r="D45" s="26">
        <v>2024.1</v>
      </c>
      <c r="E45" s="67" t="s">
        <v>219</v>
      </c>
      <c r="F45" s="3" t="s">
        <v>182</v>
      </c>
      <c r="G45" s="4" t="s">
        <v>195</v>
      </c>
      <c r="H45" s="4" t="s">
        <v>40</v>
      </c>
      <c r="I45" s="60" t="s">
        <v>8</v>
      </c>
      <c r="J45" s="4">
        <v>2024.5</v>
      </c>
      <c r="K45" s="38"/>
      <c r="L45" s="40">
        <v>2520.1</v>
      </c>
      <c r="M45" s="4" t="s">
        <v>51</v>
      </c>
      <c r="N45" s="5" t="s">
        <v>29</v>
      </c>
      <c r="O45" s="3" t="s">
        <v>211</v>
      </c>
      <c r="P45" s="5" t="s">
        <v>45</v>
      </c>
      <c r="Q45" s="4" t="s">
        <v>45</v>
      </c>
      <c r="R45" s="4" t="s">
        <v>30</v>
      </c>
      <c r="S45" s="4" t="s">
        <v>45</v>
      </c>
      <c r="T45" s="4" t="s">
        <v>45</v>
      </c>
      <c r="U45" s="4" t="s">
        <v>45</v>
      </c>
      <c r="V45" s="4" t="s">
        <v>30</v>
      </c>
      <c r="W45" s="4" t="s">
        <v>45</v>
      </c>
      <c r="X45" s="4" t="s">
        <v>30</v>
      </c>
      <c r="Y45" s="4" t="s">
        <v>30</v>
      </c>
      <c r="Z45" s="4" t="s">
        <v>30</v>
      </c>
      <c r="AA45" s="10" t="s">
        <v>217</v>
      </c>
      <c r="AB45" s="10"/>
      <c r="AC45" s="3" t="s">
        <v>230</v>
      </c>
      <c r="AD45" s="73"/>
      <c r="AE45" s="19"/>
    </row>
    <row r="46" spans="2:31" customFormat="1" ht="20.100000000000001" customHeight="1" x14ac:dyDescent="0.15">
      <c r="B46" s="16">
        <f t="shared" si="0"/>
        <v>42</v>
      </c>
      <c r="C46" s="57">
        <v>2024</v>
      </c>
      <c r="D46" s="26">
        <v>2024.1</v>
      </c>
      <c r="E46" s="68" t="s">
        <v>258</v>
      </c>
      <c r="F46" s="3" t="s">
        <v>259</v>
      </c>
      <c r="G46" s="4" t="s">
        <v>195</v>
      </c>
      <c r="H46" s="4" t="s">
        <v>40</v>
      </c>
      <c r="I46" s="60" t="s">
        <v>8</v>
      </c>
      <c r="J46" s="4">
        <v>2024.5</v>
      </c>
      <c r="K46" s="38"/>
      <c r="L46" s="40">
        <v>37230.730000000003</v>
      </c>
      <c r="M46" s="4" t="s">
        <v>51</v>
      </c>
      <c r="N46" s="5" t="s">
        <v>29</v>
      </c>
      <c r="O46" s="3" t="s">
        <v>214</v>
      </c>
      <c r="P46" s="5" t="s">
        <v>45</v>
      </c>
      <c r="Q46" s="4" t="s">
        <v>45</v>
      </c>
      <c r="R46" s="4" t="s">
        <v>30</v>
      </c>
      <c r="S46" s="4" t="s">
        <v>45</v>
      </c>
      <c r="T46" s="4" t="s">
        <v>30</v>
      </c>
      <c r="U46" s="4" t="s">
        <v>45</v>
      </c>
      <c r="V46" s="4" t="s">
        <v>30</v>
      </c>
      <c r="W46" s="4" t="s">
        <v>30</v>
      </c>
      <c r="X46" s="4" t="s">
        <v>30</v>
      </c>
      <c r="Y46" s="4" t="s">
        <v>30</v>
      </c>
      <c r="Z46" s="4" t="s">
        <v>30</v>
      </c>
      <c r="AA46" s="10" t="s">
        <v>260</v>
      </c>
      <c r="AB46" s="10"/>
      <c r="AC46" s="3" t="s">
        <v>255</v>
      </c>
      <c r="AD46" s="73" t="s">
        <v>30</v>
      </c>
      <c r="AE46" s="19"/>
    </row>
    <row r="47" spans="2:31" customFormat="1" ht="20.100000000000001" customHeight="1" x14ac:dyDescent="0.15">
      <c r="B47" s="16">
        <f t="shared" si="0"/>
        <v>43</v>
      </c>
      <c r="C47" s="57">
        <v>2024</v>
      </c>
      <c r="D47" s="26">
        <v>2024.1</v>
      </c>
      <c r="E47" s="68" t="s">
        <v>218</v>
      </c>
      <c r="F47" s="3" t="s">
        <v>183</v>
      </c>
      <c r="G47" s="4" t="s">
        <v>196</v>
      </c>
      <c r="H47" s="4" t="s">
        <v>40</v>
      </c>
      <c r="I47" s="60" t="s">
        <v>8</v>
      </c>
      <c r="J47" s="4">
        <v>2024.5</v>
      </c>
      <c r="K47" s="38">
        <v>25000</v>
      </c>
      <c r="L47" s="40">
        <v>23000</v>
      </c>
      <c r="M47" s="4" t="s">
        <v>51</v>
      </c>
      <c r="N47" s="5" t="s">
        <v>29</v>
      </c>
      <c r="O47" s="3" t="s">
        <v>212</v>
      </c>
      <c r="P47" s="5" t="s">
        <v>45</v>
      </c>
      <c r="Q47" s="4" t="s">
        <v>45</v>
      </c>
      <c r="R47" s="4" t="s">
        <v>45</v>
      </c>
      <c r="S47" s="4" t="s">
        <v>45</v>
      </c>
      <c r="T47" s="4" t="s">
        <v>45</v>
      </c>
      <c r="U47" s="4" t="s">
        <v>45</v>
      </c>
      <c r="V47" s="4" t="s">
        <v>30</v>
      </c>
      <c r="W47" s="4" t="s">
        <v>45</v>
      </c>
      <c r="X47" s="4" t="s">
        <v>30</v>
      </c>
      <c r="Y47" s="4" t="s">
        <v>30</v>
      </c>
      <c r="Z47" s="4" t="s">
        <v>30</v>
      </c>
      <c r="AA47" s="10" t="s">
        <v>216</v>
      </c>
      <c r="AB47" s="10"/>
      <c r="AC47" s="3" t="s">
        <v>229</v>
      </c>
      <c r="AD47" s="73"/>
      <c r="AE47" s="19"/>
    </row>
    <row r="48" spans="2:31" customFormat="1" ht="20.100000000000001" customHeight="1" x14ac:dyDescent="0.15">
      <c r="B48" s="16">
        <f t="shared" si="0"/>
        <v>44</v>
      </c>
      <c r="C48" s="57">
        <v>2024</v>
      </c>
      <c r="D48" s="26">
        <v>2024.1</v>
      </c>
      <c r="E48" s="68" t="s">
        <v>222</v>
      </c>
      <c r="F48" s="3" t="s">
        <v>184</v>
      </c>
      <c r="G48" s="4" t="s">
        <v>195</v>
      </c>
      <c r="H48" s="4" t="s">
        <v>40</v>
      </c>
      <c r="I48" s="60" t="s">
        <v>8</v>
      </c>
      <c r="J48" s="4">
        <v>2024.5</v>
      </c>
      <c r="K48" s="38">
        <v>130000</v>
      </c>
      <c r="L48" s="40">
        <v>111050</v>
      </c>
      <c r="M48" s="4" t="s">
        <v>51</v>
      </c>
      <c r="N48" s="5" t="s">
        <v>29</v>
      </c>
      <c r="O48" s="3" t="s">
        <v>213</v>
      </c>
      <c r="P48" s="5" t="s">
        <v>30</v>
      </c>
      <c r="Q48" s="4" t="s">
        <v>30</v>
      </c>
      <c r="R48" s="4" t="s">
        <v>30</v>
      </c>
      <c r="S48" s="4" t="s">
        <v>45</v>
      </c>
      <c r="T48" s="4" t="s">
        <v>45</v>
      </c>
      <c r="U48" s="4" t="s">
        <v>45</v>
      </c>
      <c r="V48" s="4" t="s">
        <v>45</v>
      </c>
      <c r="W48" s="76" t="s">
        <v>30</v>
      </c>
      <c r="X48" s="76" t="s">
        <v>30</v>
      </c>
      <c r="Y48" s="76" t="s">
        <v>30</v>
      </c>
      <c r="Z48" s="4" t="s">
        <v>45</v>
      </c>
      <c r="AA48" s="4" t="s">
        <v>45</v>
      </c>
      <c r="AB48" s="4"/>
      <c r="AC48" s="78" t="s">
        <v>276</v>
      </c>
      <c r="AD48" s="75"/>
      <c r="AE48" s="19"/>
    </row>
    <row r="49" spans="2:31" ht="20.100000000000001" customHeight="1" x14ac:dyDescent="0.15">
      <c r="B49" s="16">
        <f t="shared" si="0"/>
        <v>45</v>
      </c>
      <c r="C49" s="57">
        <v>2024</v>
      </c>
      <c r="D49" s="26">
        <v>2024.3</v>
      </c>
      <c r="E49" s="68" t="s">
        <v>309</v>
      </c>
      <c r="F49" s="3" t="s">
        <v>201</v>
      </c>
      <c r="G49" s="4" t="s">
        <v>191</v>
      </c>
      <c r="H49" s="4" t="s">
        <v>40</v>
      </c>
      <c r="I49" s="60" t="s">
        <v>43</v>
      </c>
      <c r="J49" s="4"/>
      <c r="K49" s="38">
        <v>250000</v>
      </c>
      <c r="L49" s="40">
        <v>250000</v>
      </c>
      <c r="M49" s="4" t="s">
        <v>91</v>
      </c>
      <c r="N49" s="5" t="s">
        <v>178</v>
      </c>
      <c r="O49" s="3" t="s">
        <v>319</v>
      </c>
      <c r="P49" s="5" t="s">
        <v>30</v>
      </c>
      <c r="Q49" s="4" t="s">
        <v>30</v>
      </c>
      <c r="R49" s="4"/>
      <c r="S49" s="4"/>
      <c r="T49" s="4"/>
      <c r="U49" s="4"/>
      <c r="V49" s="4"/>
      <c r="W49" s="4"/>
      <c r="X49" s="4"/>
      <c r="Y49" s="4"/>
      <c r="Z49" s="4"/>
      <c r="AA49" s="10"/>
      <c r="AB49" s="10"/>
      <c r="AC49" s="3"/>
      <c r="AD49" s="73"/>
      <c r="AE49" s="17"/>
    </row>
    <row r="50" spans="2:31" ht="20.100000000000001" customHeight="1" x14ac:dyDescent="0.15">
      <c r="B50" s="16">
        <f t="shared" si="0"/>
        <v>46</v>
      </c>
      <c r="C50" s="57">
        <v>2024</v>
      </c>
      <c r="D50" s="26">
        <v>2024.3</v>
      </c>
      <c r="E50" s="68" t="s">
        <v>310</v>
      </c>
      <c r="F50" s="3" t="s">
        <v>185</v>
      </c>
      <c r="G50" s="4" t="s">
        <v>191</v>
      </c>
      <c r="H50" s="4" t="s">
        <v>40</v>
      </c>
      <c r="I50" s="60" t="s">
        <v>43</v>
      </c>
      <c r="J50" s="4"/>
      <c r="K50" s="38">
        <v>320000</v>
      </c>
      <c r="L50" s="40">
        <v>297000</v>
      </c>
      <c r="M50" s="4" t="s">
        <v>91</v>
      </c>
      <c r="N50" s="5" t="s">
        <v>178</v>
      </c>
      <c r="O50" s="3" t="s">
        <v>272</v>
      </c>
      <c r="P50" s="5" t="s">
        <v>30</v>
      </c>
      <c r="Q50" s="4" t="s">
        <v>30</v>
      </c>
      <c r="R50" s="4" t="s">
        <v>45</v>
      </c>
      <c r="S50" s="4"/>
      <c r="T50" s="4"/>
      <c r="U50" s="4"/>
      <c r="V50" s="4"/>
      <c r="W50" s="4"/>
      <c r="X50" s="4"/>
      <c r="Y50" s="4"/>
      <c r="Z50" s="4"/>
      <c r="AA50" s="10"/>
      <c r="AB50" s="10"/>
      <c r="AC50" s="3"/>
      <c r="AD50" s="73"/>
      <c r="AE50" s="17"/>
    </row>
    <row r="51" spans="2:31" ht="20.100000000000001" customHeight="1" x14ac:dyDescent="0.15">
      <c r="B51" s="16">
        <f t="shared" si="0"/>
        <v>47</v>
      </c>
      <c r="C51" s="57">
        <v>2024</v>
      </c>
      <c r="D51" s="26">
        <v>2024.3</v>
      </c>
      <c r="E51" s="68" t="s">
        <v>312</v>
      </c>
      <c r="F51" s="3" t="s">
        <v>202</v>
      </c>
      <c r="G51" s="4" t="s">
        <v>191</v>
      </c>
      <c r="H51" s="4" t="s">
        <v>40</v>
      </c>
      <c r="I51" s="60" t="s">
        <v>8</v>
      </c>
      <c r="J51" s="4"/>
      <c r="K51" s="38">
        <v>185000</v>
      </c>
      <c r="L51" s="40">
        <v>182000</v>
      </c>
      <c r="M51" s="4" t="s">
        <v>51</v>
      </c>
      <c r="N51" s="5" t="s">
        <v>178</v>
      </c>
      <c r="O51" s="29" t="s">
        <v>281</v>
      </c>
      <c r="P51" s="5" t="s">
        <v>30</v>
      </c>
      <c r="Q51" s="4" t="s">
        <v>30</v>
      </c>
      <c r="R51" s="4" t="s">
        <v>45</v>
      </c>
      <c r="S51" s="4" t="s">
        <v>30</v>
      </c>
      <c r="T51" s="4" t="s">
        <v>30</v>
      </c>
      <c r="U51" s="4"/>
      <c r="V51" s="4" t="s">
        <v>30</v>
      </c>
      <c r="W51" s="4" t="s">
        <v>30</v>
      </c>
      <c r="X51" s="4" t="s">
        <v>30</v>
      </c>
      <c r="Y51" s="4" t="s">
        <v>30</v>
      </c>
      <c r="Z51" s="4" t="s">
        <v>30</v>
      </c>
      <c r="AA51" s="10" t="s">
        <v>373</v>
      </c>
      <c r="AB51" s="10"/>
      <c r="AC51" s="3" t="s">
        <v>372</v>
      </c>
      <c r="AD51" s="73" t="s">
        <v>30</v>
      </c>
      <c r="AE51" s="17"/>
    </row>
    <row r="52" spans="2:31" customFormat="1" ht="20.100000000000001" customHeight="1" x14ac:dyDescent="0.15">
      <c r="B52" s="16">
        <f t="shared" si="0"/>
        <v>48</v>
      </c>
      <c r="C52" s="57">
        <v>2024</v>
      </c>
      <c r="D52" s="26">
        <v>2024.3</v>
      </c>
      <c r="E52" s="67" t="s">
        <v>221</v>
      </c>
      <c r="F52" s="3" t="s">
        <v>203</v>
      </c>
      <c r="G52" s="4" t="s">
        <v>191</v>
      </c>
      <c r="H52" s="4" t="s">
        <v>40</v>
      </c>
      <c r="I52" s="4" t="s">
        <v>55</v>
      </c>
      <c r="J52" s="4"/>
      <c r="K52" s="38"/>
      <c r="L52" s="40"/>
      <c r="M52" s="4" t="s">
        <v>74</v>
      </c>
      <c r="N52" s="4" t="s">
        <v>187</v>
      </c>
      <c r="O52" s="3"/>
      <c r="P52" s="5"/>
      <c r="Q52" s="4"/>
      <c r="R52" s="4"/>
      <c r="S52" s="4"/>
      <c r="T52" s="4"/>
      <c r="U52" s="4"/>
      <c r="V52" s="4"/>
      <c r="W52" s="4"/>
      <c r="X52" s="4"/>
      <c r="Y52" s="4"/>
      <c r="Z52" s="4"/>
      <c r="AA52" s="10"/>
      <c r="AB52" s="10"/>
      <c r="AC52" s="7"/>
      <c r="AD52" s="72"/>
      <c r="AE52" s="19"/>
    </row>
    <row r="53" spans="2:31" ht="20.100000000000001" customHeight="1" x14ac:dyDescent="0.15">
      <c r="B53" s="16">
        <f t="shared" si="0"/>
        <v>49</v>
      </c>
      <c r="C53" s="57">
        <v>2024</v>
      </c>
      <c r="D53" s="26">
        <v>2024.3</v>
      </c>
      <c r="E53" s="68" t="s">
        <v>311</v>
      </c>
      <c r="F53" s="3" t="s">
        <v>207</v>
      </c>
      <c r="G53" s="4" t="s">
        <v>191</v>
      </c>
      <c r="H53" s="4" t="s">
        <v>40</v>
      </c>
      <c r="I53" s="60" t="s">
        <v>43</v>
      </c>
      <c r="J53" s="4"/>
      <c r="K53" s="38">
        <v>170000</v>
      </c>
      <c r="L53" s="40">
        <v>166178</v>
      </c>
      <c r="M53" s="4" t="s">
        <v>91</v>
      </c>
      <c r="N53" s="5" t="s">
        <v>28</v>
      </c>
      <c r="O53" s="29" t="s">
        <v>273</v>
      </c>
      <c r="P53" s="5" t="s">
        <v>30</v>
      </c>
      <c r="Q53" s="4" t="s">
        <v>30</v>
      </c>
      <c r="R53" s="4" t="s">
        <v>30</v>
      </c>
      <c r="S53" s="4"/>
      <c r="T53" s="4"/>
      <c r="U53" s="4"/>
      <c r="V53" s="4"/>
      <c r="W53" s="4"/>
      <c r="X53" s="4"/>
      <c r="Y53" s="4"/>
      <c r="Z53" s="4"/>
      <c r="AA53" s="10"/>
      <c r="AB53" s="10"/>
      <c r="AC53" s="3"/>
      <c r="AD53" s="73"/>
      <c r="AE53" s="17"/>
    </row>
    <row r="54" spans="2:31" ht="20.100000000000001" customHeight="1" x14ac:dyDescent="0.15">
      <c r="B54" s="16">
        <f t="shared" si="0"/>
        <v>50</v>
      </c>
      <c r="C54" s="57">
        <v>2024</v>
      </c>
      <c r="D54" s="26">
        <v>2024.3</v>
      </c>
      <c r="E54" s="68" t="s">
        <v>289</v>
      </c>
      <c r="F54" s="3" t="s">
        <v>208</v>
      </c>
      <c r="G54" s="4" t="s">
        <v>191</v>
      </c>
      <c r="H54" s="4" t="s">
        <v>56</v>
      </c>
      <c r="I54" s="60" t="s">
        <v>199</v>
      </c>
      <c r="J54" s="4"/>
      <c r="K54" s="38">
        <v>430000</v>
      </c>
      <c r="L54" s="40">
        <v>380000</v>
      </c>
      <c r="M54" s="4" t="s">
        <v>91</v>
      </c>
      <c r="N54" s="5" t="s">
        <v>28</v>
      </c>
      <c r="O54" s="3" t="s">
        <v>251</v>
      </c>
      <c r="P54" s="5" t="s">
        <v>30</v>
      </c>
      <c r="Q54" s="4" t="s">
        <v>30</v>
      </c>
      <c r="R54" s="4" t="s">
        <v>45</v>
      </c>
      <c r="S54" s="4"/>
      <c r="T54" s="4"/>
      <c r="U54" s="4"/>
      <c r="V54" s="4"/>
      <c r="W54" s="4"/>
      <c r="X54" s="4"/>
      <c r="Y54" s="4"/>
      <c r="Z54" s="4"/>
      <c r="AA54" s="10"/>
      <c r="AB54" s="10"/>
      <c r="AC54" s="3"/>
      <c r="AD54" s="73"/>
      <c r="AE54" s="17"/>
    </row>
    <row r="55" spans="2:31" customFormat="1" ht="20.100000000000001" customHeight="1" x14ac:dyDescent="0.15">
      <c r="B55" s="16">
        <f t="shared" si="0"/>
        <v>51</v>
      </c>
      <c r="C55" s="26">
        <v>2024</v>
      </c>
      <c r="D55" s="26">
        <v>2024.3</v>
      </c>
      <c r="E55" s="68" t="s">
        <v>239</v>
      </c>
      <c r="F55" s="3" t="s">
        <v>204</v>
      </c>
      <c r="G55" s="4" t="s">
        <v>191</v>
      </c>
      <c r="H55" s="4" t="s">
        <v>40</v>
      </c>
      <c r="I55" s="4" t="s">
        <v>55</v>
      </c>
      <c r="J55" s="4"/>
      <c r="K55" s="38"/>
      <c r="L55" s="40"/>
      <c r="M55" s="4" t="s">
        <v>74</v>
      </c>
      <c r="N55" s="4" t="s">
        <v>194</v>
      </c>
      <c r="O55" s="3"/>
      <c r="P55" s="5"/>
      <c r="Q55" s="4"/>
      <c r="R55" s="4"/>
      <c r="S55" s="4"/>
      <c r="T55" s="4"/>
      <c r="U55" s="4"/>
      <c r="V55" s="4"/>
      <c r="W55" s="4"/>
      <c r="X55" s="4"/>
      <c r="Y55" s="4"/>
      <c r="Z55" s="4"/>
      <c r="AA55" s="10"/>
      <c r="AB55" s="10"/>
      <c r="AC55" s="7"/>
      <c r="AD55" s="72"/>
      <c r="AE55" s="19"/>
    </row>
    <row r="56" spans="2:31" ht="20.100000000000001" customHeight="1" x14ac:dyDescent="0.15">
      <c r="B56" s="16">
        <f t="shared" si="0"/>
        <v>52</v>
      </c>
      <c r="C56" s="57">
        <v>2024</v>
      </c>
      <c r="D56" s="26">
        <v>2024.4</v>
      </c>
      <c r="E56" s="68" t="s">
        <v>233</v>
      </c>
      <c r="F56" s="3" t="s">
        <v>205</v>
      </c>
      <c r="G56" s="4" t="s">
        <v>191</v>
      </c>
      <c r="H56" s="4" t="s">
        <v>40</v>
      </c>
      <c r="I56" s="60" t="s">
        <v>199</v>
      </c>
      <c r="J56" s="4"/>
      <c r="K56" s="40">
        <v>303500</v>
      </c>
      <c r="L56" s="40">
        <v>290000</v>
      </c>
      <c r="M56" s="4" t="s">
        <v>91</v>
      </c>
      <c r="N56" s="5" t="s">
        <v>29</v>
      </c>
      <c r="O56" s="3" t="s">
        <v>264</v>
      </c>
      <c r="P56" s="5" t="s">
        <v>45</v>
      </c>
      <c r="Q56" s="4" t="s">
        <v>30</v>
      </c>
      <c r="R56" s="4" t="s">
        <v>45</v>
      </c>
      <c r="S56" s="4" t="s">
        <v>30</v>
      </c>
      <c r="T56" s="4"/>
      <c r="U56" s="4"/>
      <c r="V56" s="4"/>
      <c r="W56" s="4"/>
      <c r="X56" s="4"/>
      <c r="Y56" s="4"/>
      <c r="Z56" s="4"/>
      <c r="AA56" s="10"/>
      <c r="AB56" s="10"/>
      <c r="AC56" s="3"/>
      <c r="AD56" s="73"/>
      <c r="AE56" s="17"/>
    </row>
    <row r="57" spans="2:31" customFormat="1" ht="20.100000000000001" customHeight="1" x14ac:dyDescent="0.15">
      <c r="B57" s="16">
        <f t="shared" si="0"/>
        <v>53</v>
      </c>
      <c r="C57" s="57">
        <v>2024</v>
      </c>
      <c r="D57" s="26">
        <v>2024.4</v>
      </c>
      <c r="E57" s="68" t="s">
        <v>223</v>
      </c>
      <c r="F57" s="3" t="s">
        <v>206</v>
      </c>
      <c r="G57" s="4" t="s">
        <v>191</v>
      </c>
      <c r="H57" s="4" t="s">
        <v>40</v>
      </c>
      <c r="I57" s="60" t="s">
        <v>55</v>
      </c>
      <c r="J57" s="4"/>
      <c r="K57" s="38"/>
      <c r="L57" s="40"/>
      <c r="M57" s="4" t="s">
        <v>74</v>
      </c>
      <c r="N57" s="5" t="s">
        <v>29</v>
      </c>
      <c r="O57" s="3"/>
      <c r="P57" s="5"/>
      <c r="Q57" s="4"/>
      <c r="R57" s="4"/>
      <c r="S57" s="4"/>
      <c r="T57" s="4"/>
      <c r="U57" s="4"/>
      <c r="V57" s="4"/>
      <c r="W57" s="4"/>
      <c r="X57" s="4"/>
      <c r="Y57" s="4"/>
      <c r="Z57" s="4"/>
      <c r="AA57" s="10"/>
      <c r="AB57" s="10"/>
      <c r="AC57" s="7"/>
      <c r="AD57" s="72"/>
      <c r="AE57" s="19"/>
    </row>
    <row r="58" spans="2:31" customFormat="1" ht="20.100000000000001" customHeight="1" x14ac:dyDescent="0.15">
      <c r="B58" s="16">
        <f t="shared" si="0"/>
        <v>54</v>
      </c>
      <c r="C58" s="57">
        <v>2024</v>
      </c>
      <c r="D58" s="26">
        <v>2024.1</v>
      </c>
      <c r="E58" s="68" t="s">
        <v>241</v>
      </c>
      <c r="F58" s="3" t="s">
        <v>242</v>
      </c>
      <c r="G58" s="4" t="s">
        <v>191</v>
      </c>
      <c r="H58" s="4" t="s">
        <v>44</v>
      </c>
      <c r="I58" s="60" t="s">
        <v>8</v>
      </c>
      <c r="J58" s="4"/>
      <c r="K58" s="38"/>
      <c r="L58" s="37">
        <v>86185.1</v>
      </c>
      <c r="M58" s="4" t="s">
        <v>51</v>
      </c>
      <c r="N58" s="5" t="s">
        <v>29</v>
      </c>
      <c r="O58" s="3" t="s">
        <v>265</v>
      </c>
      <c r="P58" s="5" t="s">
        <v>192</v>
      </c>
      <c r="Q58" s="4" t="s">
        <v>45</v>
      </c>
      <c r="R58" s="4" t="s">
        <v>45</v>
      </c>
      <c r="S58" s="4" t="s">
        <v>30</v>
      </c>
      <c r="T58" s="4" t="s">
        <v>30</v>
      </c>
      <c r="U58" s="4" t="s">
        <v>45</v>
      </c>
      <c r="V58" s="4" t="s">
        <v>30</v>
      </c>
      <c r="W58" s="4" t="s">
        <v>30</v>
      </c>
      <c r="X58" s="4" t="s">
        <v>30</v>
      </c>
      <c r="Y58" s="4" t="s">
        <v>30</v>
      </c>
      <c r="Z58" s="4" t="s">
        <v>30</v>
      </c>
      <c r="AA58" s="10" t="s">
        <v>321</v>
      </c>
      <c r="AB58" s="10"/>
      <c r="AC58" s="3" t="s">
        <v>314</v>
      </c>
      <c r="AD58" s="75" t="s">
        <v>30</v>
      </c>
      <c r="AE58" s="19"/>
    </row>
    <row r="59" spans="2:31" customFormat="1" ht="20.100000000000001" customHeight="1" x14ac:dyDescent="0.15">
      <c r="B59" s="16">
        <f t="shared" si="0"/>
        <v>55</v>
      </c>
      <c r="C59" s="26">
        <v>2024</v>
      </c>
      <c r="D59" s="26">
        <v>2024.1</v>
      </c>
      <c r="E59" s="68" t="s">
        <v>290</v>
      </c>
      <c r="F59" s="3" t="s">
        <v>266</v>
      </c>
      <c r="G59" s="4" t="s">
        <v>191</v>
      </c>
      <c r="H59" s="4" t="s">
        <v>56</v>
      </c>
      <c r="I59" s="4" t="s">
        <v>8</v>
      </c>
      <c r="J59" s="4">
        <v>2024.7</v>
      </c>
      <c r="K59" s="38">
        <v>268000</v>
      </c>
      <c r="L59" s="40">
        <v>260000</v>
      </c>
      <c r="M59" s="4" t="s">
        <v>51</v>
      </c>
      <c r="N59" s="4" t="s">
        <v>119</v>
      </c>
      <c r="O59" s="3" t="s">
        <v>267</v>
      </c>
      <c r="P59" s="5" t="s">
        <v>45</v>
      </c>
      <c r="Q59" s="4" t="s">
        <v>30</v>
      </c>
      <c r="R59" s="4" t="s">
        <v>45</v>
      </c>
      <c r="S59" s="4" t="s">
        <v>45</v>
      </c>
      <c r="T59" s="4" t="s">
        <v>45</v>
      </c>
      <c r="U59" s="4" t="s">
        <v>45</v>
      </c>
      <c r="V59" s="4" t="s">
        <v>30</v>
      </c>
      <c r="W59" s="4" t="s">
        <v>30</v>
      </c>
      <c r="X59" s="4" t="s">
        <v>30</v>
      </c>
      <c r="Y59" s="4" t="s">
        <v>30</v>
      </c>
      <c r="Z59" s="4" t="s">
        <v>30</v>
      </c>
      <c r="AA59" s="10" t="s">
        <v>269</v>
      </c>
      <c r="AB59" s="10"/>
      <c r="AC59" s="68" t="s">
        <v>268</v>
      </c>
      <c r="AD59" s="75" t="s">
        <v>30</v>
      </c>
      <c r="AE59" s="19"/>
    </row>
    <row r="60" spans="2:31" ht="20.100000000000001" customHeight="1" x14ac:dyDescent="0.15">
      <c r="B60" s="16">
        <f t="shared" si="0"/>
        <v>56</v>
      </c>
      <c r="C60" s="26">
        <v>2024</v>
      </c>
      <c r="D60" s="26">
        <v>2024.4</v>
      </c>
      <c r="E60" s="68" t="s">
        <v>313</v>
      </c>
      <c r="F60" s="3" t="s">
        <v>243</v>
      </c>
      <c r="G60" s="4" t="s">
        <v>191</v>
      </c>
      <c r="H60" s="4" t="s">
        <v>40</v>
      </c>
      <c r="I60" s="60" t="s">
        <v>94</v>
      </c>
      <c r="J60" s="4"/>
      <c r="K60" s="38">
        <v>90000</v>
      </c>
      <c r="L60" s="40">
        <v>88000</v>
      </c>
      <c r="M60" s="4" t="s">
        <v>91</v>
      </c>
      <c r="N60" s="4" t="s">
        <v>28</v>
      </c>
      <c r="O60" s="3" t="s">
        <v>261</v>
      </c>
      <c r="P60" s="5" t="s">
        <v>30</v>
      </c>
      <c r="Q60" s="4" t="s">
        <v>30</v>
      </c>
      <c r="R60" s="4" t="s">
        <v>30</v>
      </c>
      <c r="S60" s="4"/>
      <c r="T60" s="4"/>
      <c r="U60" s="4"/>
      <c r="V60" s="82"/>
      <c r="W60" s="4"/>
      <c r="X60" s="4"/>
      <c r="Y60" s="4"/>
      <c r="Z60" s="4"/>
      <c r="AA60" s="10"/>
      <c r="AB60" s="10"/>
      <c r="AC60" s="3"/>
      <c r="AD60" s="73"/>
      <c r="AE60" s="17"/>
    </row>
    <row r="61" spans="2:31" customFormat="1" ht="20.100000000000001" customHeight="1" x14ac:dyDescent="0.15">
      <c r="B61" s="16">
        <f t="shared" si="0"/>
        <v>57</v>
      </c>
      <c r="C61" s="26">
        <v>2024</v>
      </c>
      <c r="D61" s="26">
        <v>2024.4</v>
      </c>
      <c r="E61" s="67" t="s">
        <v>234</v>
      </c>
      <c r="F61" s="3" t="s">
        <v>244</v>
      </c>
      <c r="G61" s="4"/>
      <c r="H61" s="4"/>
      <c r="I61" s="60"/>
      <c r="J61" s="4"/>
      <c r="K61" s="38"/>
      <c r="L61" s="40"/>
      <c r="M61" s="4" t="s">
        <v>74</v>
      </c>
      <c r="N61" s="5"/>
      <c r="O61" s="3"/>
      <c r="P61" s="5"/>
      <c r="Q61" s="4"/>
      <c r="R61" s="4"/>
      <c r="S61" s="4"/>
      <c r="T61" s="4"/>
      <c r="U61" s="4"/>
      <c r="V61" s="4"/>
      <c r="W61" s="4"/>
      <c r="X61" s="4"/>
      <c r="Y61" s="4"/>
      <c r="Z61" s="4"/>
      <c r="AA61" s="10"/>
      <c r="AB61" s="10"/>
      <c r="AC61" s="7"/>
      <c r="AD61" s="72"/>
      <c r="AE61" s="19"/>
    </row>
    <row r="62" spans="2:31" customFormat="1" ht="20.100000000000001" customHeight="1" x14ac:dyDescent="0.15">
      <c r="B62" s="16">
        <f t="shared" si="0"/>
        <v>58</v>
      </c>
      <c r="C62" s="26">
        <v>2024</v>
      </c>
      <c r="D62" s="26">
        <v>2024.4</v>
      </c>
      <c r="E62" s="68" t="s">
        <v>235</v>
      </c>
      <c r="F62" s="3" t="s">
        <v>245</v>
      </c>
      <c r="G62" s="4"/>
      <c r="H62" s="4"/>
      <c r="I62" s="60"/>
      <c r="J62" s="4"/>
      <c r="K62" s="38"/>
      <c r="L62" s="40"/>
      <c r="M62" s="4" t="s">
        <v>115</v>
      </c>
      <c r="N62" s="5"/>
      <c r="O62" s="3"/>
      <c r="P62" s="5"/>
      <c r="Q62" s="4"/>
      <c r="R62" s="4"/>
      <c r="S62" s="4"/>
      <c r="T62" s="4"/>
      <c r="U62" s="4"/>
      <c r="V62" s="4"/>
      <c r="W62" s="4"/>
      <c r="X62" s="4"/>
      <c r="Y62" s="4"/>
      <c r="Z62" s="4"/>
      <c r="AA62" s="10"/>
      <c r="AB62" s="10"/>
      <c r="AC62" s="7"/>
      <c r="AD62" s="72"/>
      <c r="AE62" s="19"/>
    </row>
    <row r="63" spans="2:31" customFormat="1" ht="20.100000000000001" customHeight="1" x14ac:dyDescent="0.15">
      <c r="B63" s="16">
        <f t="shared" si="0"/>
        <v>59</v>
      </c>
      <c r="C63" s="26">
        <v>2024</v>
      </c>
      <c r="D63" s="26">
        <v>2024.4</v>
      </c>
      <c r="E63" s="68" t="s">
        <v>274</v>
      </c>
      <c r="F63" s="3" t="s">
        <v>246</v>
      </c>
      <c r="G63" s="4"/>
      <c r="H63" s="4"/>
      <c r="I63" s="60"/>
      <c r="J63" s="4"/>
      <c r="K63" s="38"/>
      <c r="L63" s="40"/>
      <c r="M63" s="4" t="s">
        <v>115</v>
      </c>
      <c r="N63" s="5"/>
      <c r="O63" s="3"/>
      <c r="P63" s="5"/>
      <c r="Q63" s="4"/>
      <c r="R63" s="4"/>
      <c r="S63" s="4"/>
      <c r="T63" s="4"/>
      <c r="U63" s="4"/>
      <c r="V63" s="4"/>
      <c r="W63" s="4"/>
      <c r="X63" s="4"/>
      <c r="Y63" s="4"/>
      <c r="Z63" s="4"/>
      <c r="AA63" s="10"/>
      <c r="AB63" s="10"/>
      <c r="AC63" s="7"/>
      <c r="AD63" s="72"/>
      <c r="AE63" s="19"/>
    </row>
    <row r="64" spans="2:31" customFormat="1" ht="20.100000000000001" customHeight="1" x14ac:dyDescent="0.15">
      <c r="B64" s="16">
        <f t="shared" si="0"/>
        <v>60</v>
      </c>
      <c r="C64" s="26">
        <v>2024</v>
      </c>
      <c r="D64" s="26">
        <v>2024.4</v>
      </c>
      <c r="E64" s="68" t="s">
        <v>236</v>
      </c>
      <c r="F64" s="3" t="s">
        <v>247</v>
      </c>
      <c r="G64" s="4"/>
      <c r="H64" s="4"/>
      <c r="I64" s="60"/>
      <c r="J64" s="4"/>
      <c r="K64" s="38"/>
      <c r="L64" s="40"/>
      <c r="M64" s="4" t="s">
        <v>115</v>
      </c>
      <c r="N64" s="5"/>
      <c r="O64" s="3"/>
      <c r="P64" s="5"/>
      <c r="Q64" s="4"/>
      <c r="R64" s="4"/>
      <c r="S64" s="4"/>
      <c r="T64" s="4"/>
      <c r="U64" s="4"/>
      <c r="V64" s="4"/>
      <c r="W64" s="4"/>
      <c r="X64" s="4"/>
      <c r="Y64" s="4"/>
      <c r="Z64" s="4"/>
      <c r="AA64" s="10"/>
      <c r="AB64" s="10"/>
      <c r="AC64" s="7"/>
      <c r="AD64" s="72"/>
      <c r="AE64" s="19"/>
    </row>
    <row r="65" spans="2:31" customFormat="1" ht="20.100000000000001" customHeight="1" x14ac:dyDescent="0.15">
      <c r="B65" s="16">
        <f t="shared" si="0"/>
        <v>61</v>
      </c>
      <c r="C65" s="26">
        <v>2024</v>
      </c>
      <c r="D65" s="26">
        <v>2024.4</v>
      </c>
      <c r="E65" s="68" t="s">
        <v>237</v>
      </c>
      <c r="F65" s="3" t="s">
        <v>248</v>
      </c>
      <c r="G65" s="4"/>
      <c r="H65" s="4"/>
      <c r="I65" s="60"/>
      <c r="J65" s="4"/>
      <c r="K65" s="38"/>
      <c r="L65" s="40"/>
      <c r="M65" s="4" t="s">
        <v>74</v>
      </c>
      <c r="N65" s="5"/>
      <c r="O65" s="3"/>
      <c r="P65" s="5"/>
      <c r="Q65" s="4"/>
      <c r="R65" s="4"/>
      <c r="S65" s="4"/>
      <c r="T65" s="4"/>
      <c r="U65" s="4"/>
      <c r="V65" s="4"/>
      <c r="W65" s="4"/>
      <c r="X65" s="4"/>
      <c r="Y65" s="4"/>
      <c r="Z65" s="4"/>
      <c r="AA65" s="10"/>
      <c r="AB65" s="10"/>
      <c r="AC65" s="7"/>
      <c r="AD65" s="72"/>
      <c r="AE65" s="19"/>
    </row>
    <row r="66" spans="2:31" customFormat="1" ht="20.100000000000001" customHeight="1" x14ac:dyDescent="0.15">
      <c r="B66" s="16">
        <f t="shared" si="0"/>
        <v>62</v>
      </c>
      <c r="C66" s="26">
        <v>2024</v>
      </c>
      <c r="D66" s="26">
        <v>2024.4</v>
      </c>
      <c r="E66" s="68" t="s">
        <v>238</v>
      </c>
      <c r="F66" s="3" t="s">
        <v>249</v>
      </c>
      <c r="G66" s="4"/>
      <c r="H66" s="4"/>
      <c r="I66" s="60"/>
      <c r="J66" s="4"/>
      <c r="K66" s="38"/>
      <c r="L66" s="40"/>
      <c r="M66" s="4" t="s">
        <v>115</v>
      </c>
      <c r="N66" s="5"/>
      <c r="O66" s="3"/>
      <c r="P66" s="5"/>
      <c r="Q66" s="4"/>
      <c r="R66" s="4"/>
      <c r="S66" s="4"/>
      <c r="T66" s="4"/>
      <c r="U66" s="4"/>
      <c r="V66" s="4"/>
      <c r="W66" s="4"/>
      <c r="X66" s="4"/>
      <c r="Y66" s="4"/>
      <c r="Z66" s="4"/>
      <c r="AA66" s="10"/>
      <c r="AB66" s="10"/>
      <c r="AC66" s="7"/>
      <c r="AD66" s="72"/>
      <c r="AE66" s="19"/>
    </row>
    <row r="67" spans="2:31" customFormat="1" ht="20.100000000000001" customHeight="1" x14ac:dyDescent="0.15">
      <c r="B67" s="16">
        <f t="shared" si="0"/>
        <v>63</v>
      </c>
      <c r="C67" s="57">
        <v>2024</v>
      </c>
      <c r="D67" s="26">
        <v>2024.6</v>
      </c>
      <c r="E67" s="68" t="s">
        <v>279</v>
      </c>
      <c r="F67" s="3" t="s">
        <v>280</v>
      </c>
      <c r="G67" s="4" t="s">
        <v>191</v>
      </c>
      <c r="H67" s="4" t="s">
        <v>40</v>
      </c>
      <c r="I67" s="60" t="s">
        <v>8</v>
      </c>
      <c r="J67" s="4"/>
      <c r="K67" s="38">
        <v>75000</v>
      </c>
      <c r="L67" s="40">
        <v>75000</v>
      </c>
      <c r="M67" s="4" t="s">
        <v>51</v>
      </c>
      <c r="N67" s="4" t="s">
        <v>28</v>
      </c>
      <c r="O67" s="3" t="s">
        <v>287</v>
      </c>
      <c r="P67" s="5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/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10" t="s">
        <v>324</v>
      </c>
      <c r="AB67" s="10"/>
      <c r="AC67" s="3" t="s">
        <v>323</v>
      </c>
      <c r="AD67" s="75" t="s">
        <v>30</v>
      </c>
      <c r="AE67" s="19"/>
    </row>
    <row r="68" spans="2:31" customFormat="1" ht="20.100000000000001" customHeight="1" x14ac:dyDescent="0.15">
      <c r="B68" s="16">
        <f t="shared" si="0"/>
        <v>64</v>
      </c>
      <c r="C68" s="57">
        <v>2024</v>
      </c>
      <c r="D68" s="26">
        <v>2024.7</v>
      </c>
      <c r="E68" s="68" t="s">
        <v>301</v>
      </c>
      <c r="F68" s="3" t="s">
        <v>283</v>
      </c>
      <c r="G68" s="4" t="s">
        <v>195</v>
      </c>
      <c r="H68" s="4" t="s">
        <v>40</v>
      </c>
      <c r="I68" s="60" t="s">
        <v>8</v>
      </c>
      <c r="J68" s="4"/>
      <c r="K68" s="38"/>
      <c r="L68" s="40">
        <v>18944.97</v>
      </c>
      <c r="M68" s="4" t="s">
        <v>51</v>
      </c>
      <c r="N68" s="5" t="s">
        <v>270</v>
      </c>
      <c r="O68" s="3" t="s">
        <v>271</v>
      </c>
      <c r="P68" s="5" t="s">
        <v>45</v>
      </c>
      <c r="Q68" s="4" t="s">
        <v>45</v>
      </c>
      <c r="R68" s="4" t="s">
        <v>30</v>
      </c>
      <c r="S68" s="4" t="s">
        <v>45</v>
      </c>
      <c r="T68" s="4" t="s">
        <v>45</v>
      </c>
      <c r="U68" s="4" t="s">
        <v>45</v>
      </c>
      <c r="V68" s="4" t="s">
        <v>45</v>
      </c>
      <c r="W68" s="4" t="s">
        <v>30</v>
      </c>
      <c r="X68" s="4" t="s">
        <v>30</v>
      </c>
      <c r="Y68" s="4" t="s">
        <v>30</v>
      </c>
      <c r="Z68" s="4" t="s">
        <v>30</v>
      </c>
      <c r="AA68" s="10" t="s">
        <v>282</v>
      </c>
      <c r="AB68" s="10"/>
      <c r="AC68" s="77" t="s">
        <v>275</v>
      </c>
      <c r="AD68" s="72"/>
      <c r="AE68" s="19"/>
    </row>
    <row r="69" spans="2:31" customFormat="1" ht="20.100000000000001" customHeight="1" x14ac:dyDescent="0.15">
      <c r="B69" s="16">
        <f t="shared" si="0"/>
        <v>65</v>
      </c>
      <c r="C69" s="57">
        <v>2024</v>
      </c>
      <c r="D69" s="26">
        <v>2024.8</v>
      </c>
      <c r="E69" s="68" t="s">
        <v>303</v>
      </c>
      <c r="F69" s="3" t="s">
        <v>284</v>
      </c>
      <c r="G69" s="4" t="s">
        <v>195</v>
      </c>
      <c r="H69" s="4" t="s">
        <v>40</v>
      </c>
      <c r="I69" s="60" t="s">
        <v>8</v>
      </c>
      <c r="J69" s="4">
        <v>2024.9</v>
      </c>
      <c r="K69" s="38"/>
      <c r="L69" s="40">
        <v>14989.92</v>
      </c>
      <c r="M69" s="4" t="s">
        <v>51</v>
      </c>
      <c r="N69" s="5" t="s">
        <v>29</v>
      </c>
      <c r="O69" s="3" t="s">
        <v>291</v>
      </c>
      <c r="P69" s="5" t="s">
        <v>45</v>
      </c>
      <c r="Q69" s="4" t="s">
        <v>45</v>
      </c>
      <c r="R69" s="4" t="s">
        <v>30</v>
      </c>
      <c r="S69" s="4" t="s">
        <v>45</v>
      </c>
      <c r="T69" s="4" t="s">
        <v>45</v>
      </c>
      <c r="U69" s="4" t="s">
        <v>45</v>
      </c>
      <c r="V69" s="4" t="s">
        <v>45</v>
      </c>
      <c r="W69" s="4" t="s">
        <v>45</v>
      </c>
      <c r="X69" s="4" t="s">
        <v>45</v>
      </c>
      <c r="Y69" s="4" t="s">
        <v>45</v>
      </c>
      <c r="Z69" s="4" t="s">
        <v>45</v>
      </c>
      <c r="AA69" s="10"/>
      <c r="AB69" s="10"/>
      <c r="AC69" s="7"/>
      <c r="AD69" s="72"/>
      <c r="AE69" s="19"/>
    </row>
    <row r="70" spans="2:31" customFormat="1" ht="20.100000000000001" customHeight="1" x14ac:dyDescent="0.15">
      <c r="B70" s="16">
        <f t="shared" si="0"/>
        <v>66</v>
      </c>
      <c r="C70" s="57">
        <v>2024</v>
      </c>
      <c r="D70" s="26">
        <v>2024.8</v>
      </c>
      <c r="E70" s="68" t="s">
        <v>302</v>
      </c>
      <c r="F70" s="3" t="s">
        <v>285</v>
      </c>
      <c r="G70" s="4" t="s">
        <v>195</v>
      </c>
      <c r="H70" s="4" t="s">
        <v>40</v>
      </c>
      <c r="I70" s="60" t="s">
        <v>8</v>
      </c>
      <c r="J70" s="4">
        <v>2024.9</v>
      </c>
      <c r="K70" s="38"/>
      <c r="L70" s="40">
        <v>36640.339999999997</v>
      </c>
      <c r="M70" s="4" t="s">
        <v>51</v>
      </c>
      <c r="N70" s="5" t="s">
        <v>29</v>
      </c>
      <c r="O70" s="3" t="s">
        <v>288</v>
      </c>
      <c r="P70" s="5" t="s">
        <v>45</v>
      </c>
      <c r="Q70" s="4" t="s">
        <v>45</v>
      </c>
      <c r="R70" s="4" t="s">
        <v>30</v>
      </c>
      <c r="S70" s="4" t="s">
        <v>45</v>
      </c>
      <c r="T70" s="4" t="s">
        <v>45</v>
      </c>
      <c r="U70" s="4" t="s">
        <v>45</v>
      </c>
      <c r="V70" s="4" t="s">
        <v>45</v>
      </c>
      <c r="W70" s="4" t="s">
        <v>45</v>
      </c>
      <c r="X70" s="4" t="s">
        <v>45</v>
      </c>
      <c r="Y70" s="4" t="s">
        <v>45</v>
      </c>
      <c r="Z70" s="4" t="s">
        <v>45</v>
      </c>
      <c r="AA70" s="10"/>
      <c r="AB70" s="10"/>
      <c r="AC70" s="7"/>
      <c r="AD70" s="72"/>
      <c r="AE70" s="19"/>
    </row>
    <row r="71" spans="2:31" customFormat="1" ht="20.100000000000001" customHeight="1" x14ac:dyDescent="0.15">
      <c r="B71" s="16">
        <f t="shared" si="0"/>
        <v>67</v>
      </c>
      <c r="C71" s="57">
        <v>2024</v>
      </c>
      <c r="D71" s="26">
        <v>2024.8</v>
      </c>
      <c r="E71" s="68" t="s">
        <v>304</v>
      </c>
      <c r="F71" s="3" t="s">
        <v>286</v>
      </c>
      <c r="G71" s="4" t="s">
        <v>195</v>
      </c>
      <c r="H71" s="4" t="s">
        <v>40</v>
      </c>
      <c r="I71" s="60" t="s">
        <v>8</v>
      </c>
      <c r="J71" s="4"/>
      <c r="K71" s="38"/>
      <c r="L71" s="40">
        <v>54506.29</v>
      </c>
      <c r="M71" s="4" t="s">
        <v>51</v>
      </c>
      <c r="N71" s="5" t="s">
        <v>29</v>
      </c>
      <c r="O71" s="3" t="s">
        <v>320</v>
      </c>
      <c r="P71" s="5" t="s">
        <v>45</v>
      </c>
      <c r="Q71" s="4" t="s">
        <v>45</v>
      </c>
      <c r="R71" s="4" t="s">
        <v>30</v>
      </c>
      <c r="S71" s="4" t="s">
        <v>45</v>
      </c>
      <c r="T71" s="4" t="s">
        <v>45</v>
      </c>
      <c r="U71" s="4" t="s">
        <v>45</v>
      </c>
      <c r="V71" s="4" t="s">
        <v>45</v>
      </c>
      <c r="W71" s="4" t="s">
        <v>45</v>
      </c>
      <c r="X71" s="4" t="s">
        <v>45</v>
      </c>
      <c r="Y71" s="4" t="s">
        <v>45</v>
      </c>
      <c r="Z71" s="4" t="s">
        <v>45</v>
      </c>
      <c r="AA71" s="10"/>
      <c r="AB71" s="10"/>
      <c r="AC71" s="7"/>
      <c r="AD71" s="72"/>
      <c r="AE71" s="19"/>
    </row>
    <row r="72" spans="2:31" ht="20.100000000000001" customHeight="1" x14ac:dyDescent="0.15">
      <c r="B72" s="16">
        <f t="shared" si="0"/>
        <v>68</v>
      </c>
      <c r="C72" s="57">
        <v>2024</v>
      </c>
      <c r="D72" s="26">
        <v>202411</v>
      </c>
      <c r="E72" s="68" t="s">
        <v>293</v>
      </c>
      <c r="F72" s="3" t="s">
        <v>335</v>
      </c>
      <c r="G72" s="4" t="s">
        <v>195</v>
      </c>
      <c r="H72" s="4" t="s">
        <v>40</v>
      </c>
      <c r="I72" s="60" t="s">
        <v>113</v>
      </c>
      <c r="J72" s="4"/>
      <c r="K72" s="38"/>
      <c r="L72" s="40"/>
      <c r="M72" s="4" t="s">
        <v>91</v>
      </c>
      <c r="N72" s="5" t="s">
        <v>295</v>
      </c>
      <c r="O72" s="3"/>
      <c r="P72" s="5"/>
      <c r="Q72" s="4"/>
      <c r="R72" s="4"/>
      <c r="S72" s="4"/>
      <c r="T72" s="4"/>
      <c r="U72" s="4"/>
      <c r="V72" s="4"/>
      <c r="W72" s="4"/>
      <c r="X72" s="4"/>
      <c r="Y72" s="4"/>
      <c r="Z72" s="4"/>
      <c r="AA72" s="10"/>
      <c r="AB72" s="10"/>
      <c r="AC72" s="3"/>
      <c r="AD72" s="73"/>
      <c r="AE72" s="17"/>
    </row>
    <row r="73" spans="2:31" ht="20.100000000000001" customHeight="1" x14ac:dyDescent="0.15">
      <c r="B73" s="16">
        <f t="shared" si="0"/>
        <v>69</v>
      </c>
      <c r="C73" s="57">
        <v>2024</v>
      </c>
      <c r="D73" s="26">
        <v>2024.11</v>
      </c>
      <c r="E73" s="68" t="s">
        <v>294</v>
      </c>
      <c r="F73" s="3" t="s">
        <v>305</v>
      </c>
      <c r="G73" s="4" t="s">
        <v>195</v>
      </c>
      <c r="H73" s="4" t="s">
        <v>40</v>
      </c>
      <c r="I73" s="60" t="s">
        <v>113</v>
      </c>
      <c r="J73" s="4"/>
      <c r="K73" s="38"/>
      <c r="L73" s="40"/>
      <c r="M73" s="4" t="s">
        <v>91</v>
      </c>
      <c r="N73" s="5" t="s">
        <v>295</v>
      </c>
      <c r="O73" s="3"/>
      <c r="P73" s="5"/>
      <c r="Q73" s="4"/>
      <c r="R73" s="4"/>
      <c r="S73" s="4"/>
      <c r="T73" s="4"/>
      <c r="U73" s="4"/>
      <c r="V73" s="4"/>
      <c r="W73" s="4"/>
      <c r="X73" s="4"/>
      <c r="Y73" s="4"/>
      <c r="Z73" s="4"/>
      <c r="AA73" s="10"/>
      <c r="AB73" s="10"/>
      <c r="AC73" s="3"/>
      <c r="AD73" s="73"/>
      <c r="AE73" s="17"/>
    </row>
    <row r="74" spans="2:31" ht="20.100000000000001" customHeight="1" x14ac:dyDescent="0.15">
      <c r="B74" s="16">
        <f t="shared" si="0"/>
        <v>70</v>
      </c>
      <c r="C74" s="57">
        <v>2024</v>
      </c>
      <c r="D74" s="26">
        <v>2024.11</v>
      </c>
      <c r="E74" s="68" t="s">
        <v>296</v>
      </c>
      <c r="F74" s="3" t="s">
        <v>306</v>
      </c>
      <c r="G74" s="4" t="s">
        <v>195</v>
      </c>
      <c r="H74" s="4" t="s">
        <v>40</v>
      </c>
      <c r="I74" s="60" t="s">
        <v>113</v>
      </c>
      <c r="J74" s="4"/>
      <c r="K74" s="38"/>
      <c r="L74" s="40"/>
      <c r="M74" s="4" t="s">
        <v>91</v>
      </c>
      <c r="N74" s="5" t="s">
        <v>295</v>
      </c>
      <c r="O74" s="3"/>
      <c r="P74" s="5"/>
      <c r="Q74" s="4"/>
      <c r="R74" s="4"/>
      <c r="S74" s="4"/>
      <c r="T74" s="4"/>
      <c r="U74" s="4"/>
      <c r="V74" s="4"/>
      <c r="W74" s="4"/>
      <c r="X74" s="4"/>
      <c r="Y74" s="4"/>
      <c r="Z74" s="4"/>
      <c r="AA74" s="10"/>
      <c r="AB74" s="10"/>
      <c r="AC74" s="3"/>
      <c r="AD74" s="73"/>
      <c r="AE74" s="17"/>
    </row>
    <row r="75" spans="2:31" ht="20.100000000000001" customHeight="1" x14ac:dyDescent="0.15">
      <c r="B75" s="16">
        <f t="shared" si="0"/>
        <v>71</v>
      </c>
      <c r="C75" s="57">
        <v>2024</v>
      </c>
      <c r="D75" s="26">
        <v>2024.11</v>
      </c>
      <c r="E75" s="68" t="s">
        <v>346</v>
      </c>
      <c r="F75" s="3" t="s">
        <v>307</v>
      </c>
      <c r="G75" s="4" t="s">
        <v>195</v>
      </c>
      <c r="H75" s="4" t="s">
        <v>40</v>
      </c>
      <c r="I75" s="60" t="s">
        <v>43</v>
      </c>
      <c r="J75" s="4"/>
      <c r="K75" s="38"/>
      <c r="L75" s="40"/>
      <c r="M75" s="4" t="s">
        <v>91</v>
      </c>
      <c r="N75" s="5" t="s">
        <v>295</v>
      </c>
      <c r="O75" s="3" t="s">
        <v>347</v>
      </c>
      <c r="P75" s="5" t="s">
        <v>45</v>
      </c>
      <c r="Q75" s="4" t="s">
        <v>30</v>
      </c>
      <c r="R75" s="4" t="s">
        <v>30</v>
      </c>
      <c r="S75" s="4"/>
      <c r="T75" s="4"/>
      <c r="U75" s="4"/>
      <c r="V75" s="4"/>
      <c r="W75" s="4"/>
      <c r="X75" s="4"/>
      <c r="Y75" s="4"/>
      <c r="Z75" s="4"/>
      <c r="AA75" s="10"/>
      <c r="AB75" s="10"/>
      <c r="AC75" s="3"/>
      <c r="AD75" s="73"/>
      <c r="AE75" s="17"/>
    </row>
    <row r="76" spans="2:31" ht="20.100000000000001" customHeight="1" x14ac:dyDescent="0.15">
      <c r="B76" s="16">
        <f t="shared" si="0"/>
        <v>72</v>
      </c>
      <c r="C76" s="57">
        <v>2024</v>
      </c>
      <c r="D76" s="26">
        <v>2024.11</v>
      </c>
      <c r="E76" s="68" t="s">
        <v>318</v>
      </c>
      <c r="F76" s="3" t="s">
        <v>308</v>
      </c>
      <c r="G76" s="4" t="s">
        <v>191</v>
      </c>
      <c r="H76" s="4" t="s">
        <v>40</v>
      </c>
      <c r="I76" s="60" t="s">
        <v>199</v>
      </c>
      <c r="J76" s="4"/>
      <c r="K76" s="38">
        <v>450000</v>
      </c>
      <c r="L76" s="40">
        <v>410000</v>
      </c>
      <c r="M76" s="4" t="s">
        <v>91</v>
      </c>
      <c r="N76" s="5" t="s">
        <v>297</v>
      </c>
      <c r="O76" s="29" t="s">
        <v>317</v>
      </c>
      <c r="P76" s="5" t="s">
        <v>45</v>
      </c>
      <c r="Q76" s="4" t="s">
        <v>30</v>
      </c>
      <c r="R76" s="4" t="s">
        <v>30</v>
      </c>
      <c r="S76" s="4" t="s">
        <v>30</v>
      </c>
      <c r="T76" s="4"/>
      <c r="U76" s="4"/>
      <c r="V76" s="4"/>
      <c r="W76" s="4"/>
      <c r="X76" s="4"/>
      <c r="Y76" s="4"/>
      <c r="Z76" s="4"/>
      <c r="AA76" s="10"/>
      <c r="AB76" s="10"/>
      <c r="AC76" s="3"/>
      <c r="AD76" s="73"/>
      <c r="AE76" s="17"/>
    </row>
    <row r="77" spans="2:31" ht="20.100000000000001" customHeight="1" x14ac:dyDescent="0.15">
      <c r="B77" s="16">
        <f t="shared" si="0"/>
        <v>73</v>
      </c>
      <c r="C77" s="26">
        <v>2024</v>
      </c>
      <c r="D77" s="26">
        <v>2024.12</v>
      </c>
      <c r="E77" s="79" t="s">
        <v>340</v>
      </c>
      <c r="F77" s="3" t="s">
        <v>325</v>
      </c>
      <c r="G77" s="4" t="s">
        <v>195</v>
      </c>
      <c r="H77" s="4" t="s">
        <v>40</v>
      </c>
      <c r="I77" s="60" t="s">
        <v>199</v>
      </c>
      <c r="J77" s="4"/>
      <c r="K77" s="38"/>
      <c r="L77" s="40"/>
      <c r="M77" s="4" t="s">
        <v>91</v>
      </c>
      <c r="N77" s="5" t="s">
        <v>297</v>
      </c>
      <c r="O77" s="3" t="s">
        <v>322</v>
      </c>
      <c r="P77" s="5" t="s">
        <v>30</v>
      </c>
      <c r="Q77" s="4" t="s">
        <v>45</v>
      </c>
      <c r="R77" s="4" t="s">
        <v>30</v>
      </c>
      <c r="S77" s="4"/>
      <c r="T77" s="4"/>
      <c r="U77" s="4"/>
      <c r="V77" s="4"/>
      <c r="W77" s="4"/>
      <c r="X77" s="4"/>
      <c r="Y77" s="4"/>
      <c r="Z77" s="4"/>
      <c r="AA77" s="10"/>
      <c r="AB77" s="10"/>
      <c r="AC77" s="3"/>
      <c r="AD77" s="73"/>
      <c r="AE77" s="17"/>
    </row>
    <row r="78" spans="2:31" ht="20.100000000000001" customHeight="1" x14ac:dyDescent="0.15">
      <c r="B78" s="16">
        <f t="shared" si="0"/>
        <v>74</v>
      </c>
      <c r="C78" s="26">
        <v>2025</v>
      </c>
      <c r="D78" s="26">
        <v>2025.2</v>
      </c>
      <c r="E78" s="79" t="s">
        <v>350</v>
      </c>
      <c r="F78" s="3" t="s">
        <v>336</v>
      </c>
      <c r="G78" s="4" t="s">
        <v>195</v>
      </c>
      <c r="H78" s="4" t="s">
        <v>40</v>
      </c>
      <c r="I78" s="60" t="s">
        <v>152</v>
      </c>
      <c r="J78" s="4"/>
      <c r="K78" s="38">
        <v>3952.74</v>
      </c>
      <c r="L78" s="40">
        <v>3952.74</v>
      </c>
      <c r="M78" s="4" t="s">
        <v>91</v>
      </c>
      <c r="N78" s="5" t="s">
        <v>297</v>
      </c>
      <c r="O78" s="3" t="s">
        <v>345</v>
      </c>
      <c r="P78" s="5" t="s">
        <v>30</v>
      </c>
      <c r="Q78" s="4" t="s">
        <v>45</v>
      </c>
      <c r="R78" s="4" t="s">
        <v>30</v>
      </c>
      <c r="S78" s="4"/>
      <c r="T78" s="4"/>
      <c r="U78" s="4"/>
      <c r="V78" s="4"/>
      <c r="W78" s="4"/>
      <c r="X78" s="4"/>
      <c r="Y78" s="4"/>
      <c r="Z78" s="4"/>
      <c r="AA78" s="10"/>
      <c r="AB78" s="10"/>
      <c r="AC78" s="3"/>
      <c r="AD78" s="73"/>
      <c r="AE78" s="17"/>
    </row>
    <row r="79" spans="2:31" ht="20.100000000000001" customHeight="1" x14ac:dyDescent="0.15">
      <c r="B79" s="16">
        <f t="shared" si="0"/>
        <v>75</v>
      </c>
      <c r="C79" s="26">
        <v>2025</v>
      </c>
      <c r="D79" s="26">
        <v>2025.2</v>
      </c>
      <c r="E79" s="79" t="s">
        <v>341</v>
      </c>
      <c r="F79" s="3" t="s">
        <v>326</v>
      </c>
      <c r="G79" s="4" t="s">
        <v>195</v>
      </c>
      <c r="H79" s="4" t="s">
        <v>40</v>
      </c>
      <c r="I79" s="60" t="s">
        <v>152</v>
      </c>
      <c r="J79" s="4"/>
      <c r="K79" s="38"/>
      <c r="L79" s="40"/>
      <c r="M79" s="4" t="s">
        <v>91</v>
      </c>
      <c r="N79" s="5" t="s">
        <v>297</v>
      </c>
      <c r="O79" s="3" t="s">
        <v>338</v>
      </c>
      <c r="P79" s="5" t="s">
        <v>30</v>
      </c>
      <c r="Q79" s="4" t="s">
        <v>45</v>
      </c>
      <c r="R79" s="4" t="s">
        <v>30</v>
      </c>
      <c r="S79" s="4"/>
      <c r="T79" s="4"/>
      <c r="U79" s="4"/>
      <c r="V79" s="4"/>
      <c r="W79" s="4"/>
      <c r="X79" s="4"/>
      <c r="Y79" s="4"/>
      <c r="Z79" s="4"/>
      <c r="AA79" s="10"/>
      <c r="AB79" s="10"/>
      <c r="AC79" s="3"/>
      <c r="AD79" s="73"/>
      <c r="AE79" s="17"/>
    </row>
    <row r="80" spans="2:31" ht="20.100000000000001" customHeight="1" x14ac:dyDescent="0.15">
      <c r="B80" s="16">
        <f t="shared" si="0"/>
        <v>76</v>
      </c>
      <c r="C80" s="26">
        <v>2025</v>
      </c>
      <c r="D80" s="26">
        <v>2025.2</v>
      </c>
      <c r="E80" s="79" t="s">
        <v>342</v>
      </c>
      <c r="F80" s="3" t="s">
        <v>327</v>
      </c>
      <c r="G80" s="4" t="s">
        <v>195</v>
      </c>
      <c r="H80" s="4" t="s">
        <v>40</v>
      </c>
      <c r="I80" s="60" t="s">
        <v>152</v>
      </c>
      <c r="J80" s="4"/>
      <c r="K80" s="38"/>
      <c r="L80" s="40"/>
      <c r="M80" s="4" t="s">
        <v>91</v>
      </c>
      <c r="N80" s="5" t="s">
        <v>297</v>
      </c>
      <c r="O80" s="3" t="s">
        <v>339</v>
      </c>
      <c r="P80" s="5" t="s">
        <v>30</v>
      </c>
      <c r="Q80" s="4" t="s">
        <v>45</v>
      </c>
      <c r="R80" s="4" t="s">
        <v>30</v>
      </c>
      <c r="S80" s="4" t="s">
        <v>45</v>
      </c>
      <c r="T80" s="4"/>
      <c r="U80" s="4"/>
      <c r="V80" s="4"/>
      <c r="W80" s="4"/>
      <c r="X80" s="4"/>
      <c r="Y80" s="4"/>
      <c r="Z80" s="4"/>
      <c r="AA80" s="10"/>
      <c r="AB80" s="10"/>
      <c r="AC80" s="3" t="s">
        <v>374</v>
      </c>
      <c r="AD80" s="73"/>
      <c r="AE80" s="17"/>
    </row>
    <row r="81" spans="2:31" ht="20.100000000000001" customHeight="1" x14ac:dyDescent="0.15">
      <c r="B81" s="16">
        <f t="shared" si="0"/>
        <v>77</v>
      </c>
      <c r="C81" s="26">
        <v>2025</v>
      </c>
      <c r="D81" s="26">
        <v>2025.2</v>
      </c>
      <c r="E81" s="79" t="s">
        <v>368</v>
      </c>
      <c r="F81" s="3" t="s">
        <v>328</v>
      </c>
      <c r="G81" s="4" t="s">
        <v>195</v>
      </c>
      <c r="H81" s="4" t="s">
        <v>40</v>
      </c>
      <c r="I81" s="60" t="s">
        <v>152</v>
      </c>
      <c r="J81" s="4"/>
      <c r="K81" s="38"/>
      <c r="L81" s="40"/>
      <c r="M81" s="4" t="s">
        <v>91</v>
      </c>
      <c r="N81" s="5" t="s">
        <v>297</v>
      </c>
      <c r="O81" s="3" t="s">
        <v>337</v>
      </c>
      <c r="P81" s="5" t="s">
        <v>30</v>
      </c>
      <c r="Q81" s="4" t="s">
        <v>45</v>
      </c>
      <c r="R81" s="4" t="s">
        <v>30</v>
      </c>
      <c r="S81" s="4" t="s">
        <v>45</v>
      </c>
      <c r="T81" s="4"/>
      <c r="U81" s="4"/>
      <c r="V81" s="4"/>
      <c r="W81" s="4"/>
      <c r="X81" s="4"/>
      <c r="Y81" s="4"/>
      <c r="Z81" s="4"/>
      <c r="AA81" s="10"/>
      <c r="AB81" s="10"/>
      <c r="AC81" s="3" t="s">
        <v>375</v>
      </c>
      <c r="AD81" s="73"/>
      <c r="AE81" s="17"/>
    </row>
    <row r="82" spans="2:31" ht="20.100000000000001" customHeight="1" x14ac:dyDescent="0.15">
      <c r="B82" s="16">
        <f t="shared" si="0"/>
        <v>78</v>
      </c>
      <c r="C82" s="26">
        <v>2025</v>
      </c>
      <c r="D82" s="26">
        <v>2025.2</v>
      </c>
      <c r="E82" s="79" t="s">
        <v>369</v>
      </c>
      <c r="F82" s="3" t="s">
        <v>329</v>
      </c>
      <c r="G82" s="4" t="s">
        <v>195</v>
      </c>
      <c r="H82" s="4" t="s">
        <v>40</v>
      </c>
      <c r="I82" s="60" t="s">
        <v>152</v>
      </c>
      <c r="J82" s="4"/>
      <c r="K82" s="38"/>
      <c r="L82" s="40"/>
      <c r="M82" s="4" t="s">
        <v>91</v>
      </c>
      <c r="N82" s="5" t="s">
        <v>297</v>
      </c>
      <c r="O82" s="3" t="s">
        <v>344</v>
      </c>
      <c r="P82" s="5" t="s">
        <v>30</v>
      </c>
      <c r="Q82" s="4" t="s">
        <v>45</v>
      </c>
      <c r="R82" s="4" t="s">
        <v>30</v>
      </c>
      <c r="S82" s="4"/>
      <c r="T82" s="4"/>
      <c r="U82" s="4"/>
      <c r="V82" s="4"/>
      <c r="W82" s="4"/>
      <c r="X82" s="4"/>
      <c r="Y82" s="4"/>
      <c r="Z82" s="4"/>
      <c r="AA82" s="10"/>
      <c r="AB82" s="10"/>
      <c r="AC82" s="3"/>
      <c r="AD82" s="73"/>
      <c r="AE82" s="17"/>
    </row>
    <row r="83" spans="2:31" ht="20.100000000000001" customHeight="1" x14ac:dyDescent="0.15">
      <c r="B83" s="16">
        <f t="shared" si="0"/>
        <v>79</v>
      </c>
      <c r="C83" s="26">
        <v>2025</v>
      </c>
      <c r="D83" s="26">
        <v>2025.2</v>
      </c>
      <c r="E83" s="3" t="s">
        <v>343</v>
      </c>
      <c r="F83" s="3" t="s">
        <v>330</v>
      </c>
      <c r="G83" s="4" t="s">
        <v>195</v>
      </c>
      <c r="H83" s="4" t="s">
        <v>40</v>
      </c>
      <c r="I83" s="60" t="s">
        <v>199</v>
      </c>
      <c r="J83" s="4"/>
      <c r="K83" s="38">
        <v>3000</v>
      </c>
      <c r="L83" s="40"/>
      <c r="M83" s="4" t="s">
        <v>91</v>
      </c>
      <c r="N83" s="5" t="s">
        <v>29</v>
      </c>
      <c r="O83" s="3" t="s">
        <v>349</v>
      </c>
      <c r="P83" s="5" t="s">
        <v>45</v>
      </c>
      <c r="Q83" s="4" t="s">
        <v>45</v>
      </c>
      <c r="R83" s="4"/>
      <c r="S83" s="4"/>
      <c r="T83" s="4"/>
      <c r="U83" s="4"/>
      <c r="V83" s="4"/>
      <c r="W83" s="4"/>
      <c r="X83" s="4"/>
      <c r="Y83" s="4"/>
      <c r="Z83" s="4"/>
      <c r="AA83" s="10"/>
      <c r="AB83" s="10"/>
      <c r="AC83" s="3"/>
      <c r="AD83" s="73"/>
      <c r="AE83" s="17"/>
    </row>
    <row r="84" spans="2:31" ht="20.100000000000001" customHeight="1" x14ac:dyDescent="0.15">
      <c r="B84" s="16">
        <f t="shared" si="0"/>
        <v>80</v>
      </c>
      <c r="C84" s="26">
        <v>2025</v>
      </c>
      <c r="D84" s="26">
        <v>2025.3</v>
      </c>
      <c r="E84" s="3" t="s">
        <v>348</v>
      </c>
      <c r="F84" s="3" t="s">
        <v>352</v>
      </c>
      <c r="G84" s="4" t="s">
        <v>195</v>
      </c>
      <c r="H84" s="4" t="s">
        <v>40</v>
      </c>
      <c r="I84" s="60" t="s">
        <v>199</v>
      </c>
      <c r="J84" s="4"/>
      <c r="K84" s="38"/>
      <c r="L84" s="40"/>
      <c r="M84" s="4" t="s">
        <v>91</v>
      </c>
      <c r="N84" s="5" t="s">
        <v>29</v>
      </c>
      <c r="O84" s="3" t="s">
        <v>351</v>
      </c>
      <c r="P84" s="5" t="s">
        <v>45</v>
      </c>
      <c r="Q84" s="4" t="s">
        <v>45</v>
      </c>
      <c r="R84" s="4" t="s">
        <v>30</v>
      </c>
      <c r="S84" s="4"/>
      <c r="T84" s="4"/>
      <c r="U84" s="4"/>
      <c r="V84" s="4"/>
      <c r="W84" s="4"/>
      <c r="X84" s="4"/>
      <c r="Y84" s="4"/>
      <c r="Z84" s="4"/>
      <c r="AA84" s="10"/>
      <c r="AB84" s="10"/>
      <c r="AC84" s="3" t="s">
        <v>376</v>
      </c>
      <c r="AD84" s="73"/>
      <c r="AE84" s="17"/>
    </row>
    <row r="85" spans="2:31" ht="20.100000000000001" customHeight="1" x14ac:dyDescent="0.15">
      <c r="B85" s="16">
        <f t="shared" si="0"/>
        <v>81</v>
      </c>
      <c r="C85" s="26">
        <v>2025</v>
      </c>
      <c r="D85" s="26">
        <v>2025.3</v>
      </c>
      <c r="E85" s="80" t="s">
        <v>367</v>
      </c>
      <c r="F85" s="78" t="s">
        <v>353</v>
      </c>
      <c r="G85" s="81" t="s">
        <v>40</v>
      </c>
      <c r="H85" s="4" t="s">
        <v>40</v>
      </c>
      <c r="I85" s="4" t="s">
        <v>152</v>
      </c>
      <c r="J85" s="4"/>
      <c r="K85" s="38"/>
      <c r="L85" s="81">
        <v>60000</v>
      </c>
      <c r="M85" s="4" t="s">
        <v>91</v>
      </c>
      <c r="N85" s="5" t="s">
        <v>29</v>
      </c>
      <c r="O85" s="78" t="s">
        <v>362</v>
      </c>
      <c r="P85" s="5"/>
      <c r="Q85" s="4"/>
      <c r="R85" s="4"/>
      <c r="S85" s="4"/>
      <c r="T85" s="4"/>
      <c r="U85" s="4"/>
      <c r="V85" s="4"/>
      <c r="W85" s="4"/>
      <c r="X85" s="4"/>
      <c r="Y85" s="4"/>
      <c r="Z85" s="4"/>
      <c r="AA85" s="94" t="s">
        <v>382</v>
      </c>
      <c r="AB85" s="66"/>
      <c r="AC85" s="3" t="s">
        <v>377</v>
      </c>
      <c r="AD85" s="73"/>
      <c r="AE85" s="17"/>
    </row>
    <row r="86" spans="2:31" ht="20.100000000000001" customHeight="1" x14ac:dyDescent="0.15">
      <c r="B86" s="16">
        <f t="shared" si="0"/>
        <v>82</v>
      </c>
      <c r="C86" s="26">
        <v>2025</v>
      </c>
      <c r="D86" s="26">
        <v>2025.3</v>
      </c>
      <c r="E86" s="80" t="s">
        <v>354</v>
      </c>
      <c r="F86" s="78" t="s">
        <v>355</v>
      </c>
      <c r="G86" s="81" t="s">
        <v>40</v>
      </c>
      <c r="H86" s="4" t="s">
        <v>40</v>
      </c>
      <c r="I86" s="4" t="s">
        <v>152</v>
      </c>
      <c r="J86" s="4"/>
      <c r="K86" s="38"/>
      <c r="L86" s="81">
        <v>70000</v>
      </c>
      <c r="M86" s="4" t="s">
        <v>91</v>
      </c>
      <c r="N86" s="5" t="s">
        <v>29</v>
      </c>
      <c r="O86" s="78" t="s">
        <v>363</v>
      </c>
      <c r="P86" s="5"/>
      <c r="Q86" s="4"/>
      <c r="R86" s="4"/>
      <c r="S86" s="4"/>
      <c r="T86" s="4"/>
      <c r="U86" s="4"/>
      <c r="V86" s="4"/>
      <c r="W86" s="4"/>
      <c r="X86" s="4"/>
      <c r="Y86" s="4"/>
      <c r="Z86" s="4"/>
      <c r="AA86" s="95"/>
      <c r="AB86" s="89"/>
      <c r="AC86" s="3" t="s">
        <v>378</v>
      </c>
      <c r="AD86" s="73"/>
      <c r="AE86" s="17"/>
    </row>
    <row r="87" spans="2:31" ht="20.100000000000001" customHeight="1" x14ac:dyDescent="0.15">
      <c r="B87" s="16">
        <f t="shared" si="0"/>
        <v>83</v>
      </c>
      <c r="C87" s="26">
        <v>2025</v>
      </c>
      <c r="D87" s="26">
        <v>2025.3</v>
      </c>
      <c r="E87" s="80" t="s">
        <v>356</v>
      </c>
      <c r="F87" s="78" t="s">
        <v>357</v>
      </c>
      <c r="G87" s="81" t="s">
        <v>40</v>
      </c>
      <c r="H87" s="4" t="s">
        <v>40</v>
      </c>
      <c r="I87" s="4" t="s">
        <v>152</v>
      </c>
      <c r="J87" s="4"/>
      <c r="K87" s="38"/>
      <c r="L87" s="81">
        <v>72000</v>
      </c>
      <c r="M87" s="4" t="s">
        <v>91</v>
      </c>
      <c r="N87" s="5" t="s">
        <v>29</v>
      </c>
      <c r="O87" s="78" t="s">
        <v>364</v>
      </c>
      <c r="P87" s="5"/>
      <c r="Q87" s="4"/>
      <c r="R87" s="4"/>
      <c r="S87" s="4"/>
      <c r="T87" s="4"/>
      <c r="U87" s="4"/>
      <c r="V87" s="4"/>
      <c r="W87" s="4"/>
      <c r="X87" s="4"/>
      <c r="Y87" s="4"/>
      <c r="Z87" s="4"/>
      <c r="AA87" s="95"/>
      <c r="AB87" s="89"/>
      <c r="AC87" s="3" t="s">
        <v>379</v>
      </c>
      <c r="AD87" s="73"/>
      <c r="AE87" s="17"/>
    </row>
    <row r="88" spans="2:31" ht="20.100000000000001" customHeight="1" x14ac:dyDescent="0.15">
      <c r="B88" s="16">
        <f t="shared" si="0"/>
        <v>84</v>
      </c>
      <c r="C88" s="26">
        <v>2025</v>
      </c>
      <c r="D88" s="26">
        <v>2025.3</v>
      </c>
      <c r="E88" s="80" t="s">
        <v>358</v>
      </c>
      <c r="F88" s="78" t="s">
        <v>359</v>
      </c>
      <c r="G88" s="81" t="s">
        <v>40</v>
      </c>
      <c r="H88" s="4" t="s">
        <v>40</v>
      </c>
      <c r="I88" s="4" t="s">
        <v>152</v>
      </c>
      <c r="J88" s="4"/>
      <c r="K88" s="38"/>
      <c r="L88" s="81">
        <v>72000</v>
      </c>
      <c r="M88" s="4" t="s">
        <v>91</v>
      </c>
      <c r="N88" s="5" t="s">
        <v>29</v>
      </c>
      <c r="O88" s="78" t="s">
        <v>365</v>
      </c>
      <c r="P88" s="5"/>
      <c r="Q88" s="4"/>
      <c r="R88" s="4"/>
      <c r="S88" s="4"/>
      <c r="T88" s="4"/>
      <c r="U88" s="4"/>
      <c r="V88" s="4"/>
      <c r="W88" s="4"/>
      <c r="X88" s="4"/>
      <c r="Y88" s="4"/>
      <c r="Z88" s="4"/>
      <c r="AA88" s="95"/>
      <c r="AB88" s="89"/>
      <c r="AC88" s="3" t="s">
        <v>380</v>
      </c>
      <c r="AD88" s="73"/>
      <c r="AE88" s="17"/>
    </row>
    <row r="89" spans="2:31" ht="20.100000000000001" customHeight="1" x14ac:dyDescent="0.15">
      <c r="B89" s="16">
        <f t="shared" si="0"/>
        <v>85</v>
      </c>
      <c r="C89" s="26">
        <v>2025</v>
      </c>
      <c r="D89" s="26">
        <v>2025.3</v>
      </c>
      <c r="E89" s="80" t="s">
        <v>360</v>
      </c>
      <c r="F89" s="78" t="s">
        <v>361</v>
      </c>
      <c r="G89" s="81" t="s">
        <v>40</v>
      </c>
      <c r="H89" s="4" t="s">
        <v>40</v>
      </c>
      <c r="I89" s="4" t="s">
        <v>152</v>
      </c>
      <c r="J89" s="4"/>
      <c r="K89" s="38"/>
      <c r="L89" s="81">
        <v>76000</v>
      </c>
      <c r="M89" s="4" t="s">
        <v>91</v>
      </c>
      <c r="N89" s="5" t="s">
        <v>29</v>
      </c>
      <c r="O89" s="78" t="s">
        <v>366</v>
      </c>
      <c r="P89" s="5"/>
      <c r="Q89" s="4"/>
      <c r="R89" s="4"/>
      <c r="S89" s="4"/>
      <c r="T89" s="4"/>
      <c r="U89" s="4"/>
      <c r="V89" s="4"/>
      <c r="W89" s="4"/>
      <c r="X89" s="4"/>
      <c r="Y89" s="4"/>
      <c r="Z89" s="4"/>
      <c r="AA89" s="96"/>
      <c r="AB89" s="47"/>
      <c r="AC89" s="3" t="s">
        <v>381</v>
      </c>
      <c r="AD89" s="73"/>
      <c r="AE89" s="17"/>
    </row>
    <row r="90" spans="2:31" ht="20.100000000000001" customHeight="1" x14ac:dyDescent="0.15">
      <c r="B90" s="16">
        <f t="shared" ref="B90:B121" si="1">ROW()-4</f>
        <v>86</v>
      </c>
      <c r="C90" s="26">
        <v>2025</v>
      </c>
      <c r="D90" s="26">
        <v>2025.5</v>
      </c>
      <c r="E90" s="3" t="s">
        <v>371</v>
      </c>
      <c r="F90" s="3"/>
      <c r="G90" s="4" t="s">
        <v>191</v>
      </c>
      <c r="H90" s="4" t="s">
        <v>56</v>
      </c>
      <c r="I90" s="4" t="s">
        <v>43</v>
      </c>
      <c r="J90" s="4"/>
      <c r="K90" s="38"/>
      <c r="L90" s="40">
        <v>85000</v>
      </c>
      <c r="M90" s="4" t="s">
        <v>91</v>
      </c>
      <c r="N90" s="4" t="s">
        <v>28</v>
      </c>
      <c r="O90" s="3" t="s">
        <v>370</v>
      </c>
      <c r="P90" s="5" t="s">
        <v>45</v>
      </c>
      <c r="Q90" s="4" t="s">
        <v>30</v>
      </c>
      <c r="R90" s="4"/>
      <c r="S90" s="4"/>
      <c r="T90" s="4"/>
      <c r="U90" s="4"/>
      <c r="V90" s="4"/>
      <c r="W90" s="4"/>
      <c r="X90" s="4"/>
      <c r="Y90" s="4"/>
      <c r="Z90" s="4"/>
      <c r="AA90" s="10"/>
      <c r="AB90" s="10"/>
      <c r="AC90" s="3"/>
      <c r="AD90" s="73"/>
      <c r="AE90" s="17"/>
    </row>
    <row r="91" spans="2:31" ht="20.100000000000001" customHeight="1" x14ac:dyDescent="0.15">
      <c r="B91" s="16">
        <f t="shared" si="1"/>
        <v>87</v>
      </c>
      <c r="C91" s="26"/>
      <c r="D91" s="26"/>
      <c r="E91" s="3"/>
      <c r="F91" s="3"/>
      <c r="G91" s="4"/>
      <c r="H91" s="4"/>
      <c r="I91" s="4"/>
      <c r="J91" s="4"/>
      <c r="K91" s="38"/>
      <c r="L91" s="40"/>
      <c r="M91" s="4"/>
      <c r="N91" s="4"/>
      <c r="O91" s="3"/>
      <c r="P91" s="5"/>
      <c r="Q91" s="4"/>
      <c r="R91" s="4"/>
      <c r="S91" s="4"/>
      <c r="T91" s="4"/>
      <c r="U91" s="4"/>
      <c r="V91" s="4"/>
      <c r="W91" s="4"/>
      <c r="X91" s="4"/>
      <c r="Y91" s="4"/>
      <c r="Z91" s="4"/>
      <c r="AA91" s="10"/>
      <c r="AB91" s="10"/>
      <c r="AC91" s="3"/>
      <c r="AD91" s="73"/>
      <c r="AE91" s="17"/>
    </row>
    <row r="92" spans="2:31" ht="20.100000000000001" customHeight="1" x14ac:dyDescent="0.15">
      <c r="B92" s="16">
        <f t="shared" si="1"/>
        <v>88</v>
      </c>
      <c r="C92" s="62"/>
      <c r="D92" s="62"/>
      <c r="E92" s="24"/>
      <c r="F92" s="24"/>
      <c r="G92" s="59"/>
      <c r="H92" s="59"/>
      <c r="I92" s="59"/>
      <c r="J92" s="59"/>
      <c r="K92" s="63"/>
      <c r="L92" s="64"/>
      <c r="M92" s="59"/>
      <c r="N92" s="59"/>
      <c r="O92" s="24"/>
      <c r="P92" s="65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66"/>
      <c r="AB92" s="66"/>
      <c r="AC92" s="24"/>
      <c r="AD92" s="85"/>
      <c r="AE92" s="86"/>
    </row>
    <row r="93" spans="2:31" ht="20.100000000000001" customHeight="1" x14ac:dyDescent="0.15">
      <c r="B93" s="16">
        <f t="shared" si="1"/>
        <v>89</v>
      </c>
      <c r="C93" s="62"/>
      <c r="D93" s="62"/>
      <c r="E93" s="24"/>
      <c r="F93" s="24"/>
      <c r="G93" s="59"/>
      <c r="H93" s="59"/>
      <c r="I93" s="59"/>
      <c r="J93" s="59"/>
      <c r="K93" s="63"/>
      <c r="L93" s="64"/>
      <c r="M93" s="59"/>
      <c r="N93" s="59"/>
      <c r="O93" s="24"/>
      <c r="P93" s="65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66"/>
      <c r="AB93" s="66"/>
      <c r="AC93" s="24"/>
      <c r="AD93" s="85"/>
      <c r="AE93" s="86"/>
    </row>
    <row r="94" spans="2:31" ht="20.100000000000001" customHeight="1" x14ac:dyDescent="0.15">
      <c r="B94" s="16">
        <f t="shared" si="1"/>
        <v>90</v>
      </c>
      <c r="C94" s="62"/>
      <c r="D94" s="62"/>
      <c r="E94" s="24"/>
      <c r="F94" s="24"/>
      <c r="G94" s="59"/>
      <c r="H94" s="59"/>
      <c r="I94" s="59"/>
      <c r="J94" s="59"/>
      <c r="K94" s="63"/>
      <c r="L94" s="64"/>
      <c r="M94" s="59"/>
      <c r="N94" s="59"/>
      <c r="O94" s="24"/>
      <c r="P94" s="65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66"/>
      <c r="AB94" s="66"/>
      <c r="AC94" s="24"/>
      <c r="AD94" s="85"/>
      <c r="AE94" s="86"/>
    </row>
    <row r="95" spans="2:31" ht="20.100000000000001" customHeight="1" x14ac:dyDescent="0.15">
      <c r="B95" s="16">
        <f t="shared" si="1"/>
        <v>91</v>
      </c>
      <c r="C95" s="62"/>
      <c r="D95" s="62"/>
      <c r="E95" s="24"/>
      <c r="F95" s="24"/>
      <c r="G95" s="59"/>
      <c r="H95" s="59"/>
      <c r="I95" s="59"/>
      <c r="J95" s="59"/>
      <c r="K95" s="63"/>
      <c r="L95" s="64"/>
      <c r="M95" s="59"/>
      <c r="N95" s="59"/>
      <c r="O95" s="24"/>
      <c r="P95" s="65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66"/>
      <c r="AB95" s="66"/>
      <c r="AC95" s="24"/>
      <c r="AD95" s="85"/>
      <c r="AE95" s="86"/>
    </row>
    <row r="96" spans="2:31" ht="20.100000000000001" customHeight="1" x14ac:dyDescent="0.15">
      <c r="B96" s="16">
        <f t="shared" si="1"/>
        <v>92</v>
      </c>
      <c r="C96" s="62"/>
      <c r="D96" s="62"/>
      <c r="E96" s="24"/>
      <c r="F96" s="24"/>
      <c r="G96" s="59"/>
      <c r="H96" s="59"/>
      <c r="I96" s="59"/>
      <c r="J96" s="59"/>
      <c r="K96" s="63"/>
      <c r="L96" s="64"/>
      <c r="M96" s="59"/>
      <c r="N96" s="59"/>
      <c r="O96" s="24"/>
      <c r="P96" s="65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66"/>
      <c r="AB96" s="66"/>
      <c r="AC96" s="24"/>
      <c r="AD96" s="85"/>
      <c r="AE96" s="86"/>
    </row>
    <row r="97" spans="2:31" ht="20.100000000000001" customHeight="1" x14ac:dyDescent="0.15">
      <c r="B97" s="16">
        <f t="shared" si="1"/>
        <v>93</v>
      </c>
      <c r="C97" s="62"/>
      <c r="D97" s="62"/>
      <c r="E97" s="24"/>
      <c r="F97" s="24"/>
      <c r="G97" s="59"/>
      <c r="H97" s="59"/>
      <c r="I97" s="59"/>
      <c r="J97" s="59"/>
      <c r="K97" s="63"/>
      <c r="L97" s="64"/>
      <c r="M97" s="59"/>
      <c r="N97" s="59"/>
      <c r="O97" s="24"/>
      <c r="P97" s="65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66"/>
      <c r="AB97" s="66"/>
      <c r="AC97" s="24"/>
      <c r="AD97" s="85"/>
      <c r="AE97" s="86"/>
    </row>
    <row r="98" spans="2:31" ht="20.100000000000001" customHeight="1" x14ac:dyDescent="0.15">
      <c r="B98" s="16">
        <f t="shared" si="1"/>
        <v>94</v>
      </c>
      <c r="C98" s="62"/>
      <c r="D98" s="62"/>
      <c r="E98" s="24"/>
      <c r="F98" s="24"/>
      <c r="G98" s="59"/>
      <c r="H98" s="59"/>
      <c r="I98" s="59"/>
      <c r="J98" s="59"/>
      <c r="K98" s="63"/>
      <c r="L98" s="64"/>
      <c r="M98" s="59"/>
      <c r="N98" s="59"/>
      <c r="O98" s="24"/>
      <c r="P98" s="65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66"/>
      <c r="AB98" s="66"/>
      <c r="AC98" s="24"/>
      <c r="AD98" s="85"/>
      <c r="AE98" s="86"/>
    </row>
    <row r="99" spans="2:31" ht="20.100000000000001" customHeight="1" x14ac:dyDescent="0.15">
      <c r="B99" s="16">
        <f t="shared" si="1"/>
        <v>95</v>
      </c>
      <c r="C99" s="62"/>
      <c r="D99" s="62"/>
      <c r="E99" s="24"/>
      <c r="F99" s="24"/>
      <c r="G99" s="59"/>
      <c r="H99" s="59"/>
      <c r="I99" s="59"/>
      <c r="J99" s="59"/>
      <c r="K99" s="63"/>
      <c r="L99" s="64"/>
      <c r="M99" s="59"/>
      <c r="N99" s="59"/>
      <c r="O99" s="24"/>
      <c r="P99" s="65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66"/>
      <c r="AB99" s="66"/>
      <c r="AC99" s="24"/>
      <c r="AD99" s="85"/>
      <c r="AE99" s="86"/>
    </row>
    <row r="100" spans="2:31" ht="20.100000000000001" customHeight="1" x14ac:dyDescent="0.15">
      <c r="B100" s="16">
        <f t="shared" si="1"/>
        <v>96</v>
      </c>
      <c r="C100" s="62"/>
      <c r="D100" s="62"/>
      <c r="E100" s="24"/>
      <c r="F100" s="24"/>
      <c r="G100" s="59"/>
      <c r="H100" s="59"/>
      <c r="I100" s="59"/>
      <c r="J100" s="59"/>
      <c r="K100" s="63"/>
      <c r="L100" s="64"/>
      <c r="M100" s="59"/>
      <c r="N100" s="59"/>
      <c r="O100" s="24"/>
      <c r="P100" s="65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66"/>
      <c r="AB100" s="66"/>
      <c r="AC100" s="24"/>
      <c r="AD100" s="85"/>
      <c r="AE100" s="86"/>
    </row>
    <row r="101" spans="2:31" ht="20.100000000000001" customHeight="1" x14ac:dyDescent="0.15">
      <c r="B101" s="16">
        <f t="shared" si="1"/>
        <v>97</v>
      </c>
      <c r="C101" s="62"/>
      <c r="D101" s="62"/>
      <c r="E101" s="24"/>
      <c r="F101" s="24"/>
      <c r="G101" s="59"/>
      <c r="H101" s="59"/>
      <c r="I101" s="59"/>
      <c r="J101" s="59"/>
      <c r="K101" s="63"/>
      <c r="L101" s="64"/>
      <c r="M101" s="59"/>
      <c r="N101" s="59"/>
      <c r="O101" s="24"/>
      <c r="P101" s="65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66"/>
      <c r="AB101" s="66"/>
      <c r="AC101" s="24"/>
      <c r="AD101" s="85"/>
      <c r="AE101" s="86"/>
    </row>
    <row r="102" spans="2:31" ht="20.100000000000001" customHeight="1" x14ac:dyDescent="0.15">
      <c r="B102" s="16">
        <f t="shared" si="1"/>
        <v>98</v>
      </c>
      <c r="C102" s="62"/>
      <c r="D102" s="62"/>
      <c r="E102" s="24"/>
      <c r="F102" s="24"/>
      <c r="G102" s="59"/>
      <c r="H102" s="59"/>
      <c r="I102" s="59"/>
      <c r="J102" s="59"/>
      <c r="K102" s="63"/>
      <c r="L102" s="64"/>
      <c r="M102" s="59"/>
      <c r="N102" s="59"/>
      <c r="O102" s="24"/>
      <c r="P102" s="65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66"/>
      <c r="AB102" s="66"/>
      <c r="AC102" s="24"/>
      <c r="AD102" s="85"/>
      <c r="AE102" s="86"/>
    </row>
    <row r="103" spans="2:31" ht="20.100000000000001" customHeight="1" x14ac:dyDescent="0.15">
      <c r="B103" s="16">
        <f t="shared" si="1"/>
        <v>99</v>
      </c>
      <c r="C103" s="62"/>
      <c r="D103" s="62"/>
      <c r="E103" s="24"/>
      <c r="F103" s="24"/>
      <c r="G103" s="59"/>
      <c r="H103" s="59"/>
      <c r="I103" s="59"/>
      <c r="J103" s="59"/>
      <c r="K103" s="63"/>
      <c r="L103" s="64"/>
      <c r="M103" s="59"/>
      <c r="N103" s="59"/>
      <c r="O103" s="24"/>
      <c r="P103" s="65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66"/>
      <c r="AB103" s="66"/>
      <c r="AC103" s="24"/>
      <c r="AD103" s="85"/>
      <c r="AE103" s="86"/>
    </row>
    <row r="104" spans="2:31" ht="20.100000000000001" customHeight="1" x14ac:dyDescent="0.15">
      <c r="B104" s="16">
        <f t="shared" si="1"/>
        <v>100</v>
      </c>
      <c r="C104" s="62"/>
      <c r="D104" s="62"/>
      <c r="E104" s="24"/>
      <c r="F104" s="24"/>
      <c r="G104" s="59"/>
      <c r="H104" s="59"/>
      <c r="I104" s="59"/>
      <c r="J104" s="59"/>
      <c r="K104" s="63"/>
      <c r="L104" s="64"/>
      <c r="M104" s="59"/>
      <c r="N104" s="59"/>
      <c r="O104" s="24"/>
      <c r="P104" s="65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66"/>
      <c r="AB104" s="66"/>
      <c r="AC104" s="24"/>
      <c r="AD104" s="85"/>
      <c r="AE104" s="86"/>
    </row>
    <row r="105" spans="2:31" ht="20.100000000000001" customHeight="1" x14ac:dyDescent="0.15">
      <c r="B105" s="16">
        <f t="shared" si="1"/>
        <v>101</v>
      </c>
      <c r="C105" s="62"/>
      <c r="D105" s="62"/>
      <c r="E105" s="24"/>
      <c r="F105" s="24"/>
      <c r="G105" s="59"/>
      <c r="H105" s="59"/>
      <c r="I105" s="59"/>
      <c r="J105" s="59"/>
      <c r="K105" s="63"/>
      <c r="L105" s="64"/>
      <c r="M105" s="59"/>
      <c r="N105" s="59"/>
      <c r="O105" s="24"/>
      <c r="P105" s="65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66"/>
      <c r="AB105" s="66"/>
      <c r="AC105" s="24"/>
      <c r="AD105" s="85"/>
      <c r="AE105" s="86"/>
    </row>
    <row r="106" spans="2:31" ht="20.100000000000001" customHeight="1" x14ac:dyDescent="0.15">
      <c r="B106" s="16">
        <f t="shared" si="1"/>
        <v>102</v>
      </c>
      <c r="C106" s="62"/>
      <c r="D106" s="62"/>
      <c r="E106" s="24"/>
      <c r="F106" s="24"/>
      <c r="G106" s="59"/>
      <c r="H106" s="59"/>
      <c r="I106" s="59"/>
      <c r="J106" s="59"/>
      <c r="K106" s="63"/>
      <c r="L106" s="64"/>
      <c r="M106" s="59"/>
      <c r="N106" s="59"/>
      <c r="O106" s="24"/>
      <c r="P106" s="65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66"/>
      <c r="AB106" s="66"/>
      <c r="AC106" s="24"/>
      <c r="AD106" s="85"/>
      <c r="AE106" s="86"/>
    </row>
    <row r="107" spans="2:31" ht="20.100000000000001" customHeight="1" x14ac:dyDescent="0.15">
      <c r="B107" s="16">
        <f t="shared" si="1"/>
        <v>103</v>
      </c>
      <c r="C107" s="62"/>
      <c r="D107" s="62"/>
      <c r="E107" s="24"/>
      <c r="F107" s="24"/>
      <c r="G107" s="59"/>
      <c r="H107" s="59"/>
      <c r="I107" s="59"/>
      <c r="J107" s="59"/>
      <c r="K107" s="63"/>
      <c r="L107" s="64"/>
      <c r="M107" s="59"/>
      <c r="N107" s="59"/>
      <c r="O107" s="24"/>
      <c r="P107" s="65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66"/>
      <c r="AB107" s="66"/>
      <c r="AC107" s="24"/>
      <c r="AD107" s="85"/>
      <c r="AE107" s="86"/>
    </row>
    <row r="108" spans="2:31" ht="20.100000000000001" customHeight="1" x14ac:dyDescent="0.15">
      <c r="B108" s="16">
        <f t="shared" si="1"/>
        <v>104</v>
      </c>
      <c r="C108" s="62"/>
      <c r="D108" s="62"/>
      <c r="E108" s="24"/>
      <c r="F108" s="24"/>
      <c r="G108" s="59"/>
      <c r="H108" s="59"/>
      <c r="I108" s="59"/>
      <c r="J108" s="59"/>
      <c r="K108" s="63"/>
      <c r="L108" s="64"/>
      <c r="M108" s="59"/>
      <c r="N108" s="59"/>
      <c r="O108" s="24"/>
      <c r="P108" s="65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66"/>
      <c r="AB108" s="66"/>
      <c r="AC108" s="24"/>
      <c r="AD108" s="85"/>
      <c r="AE108" s="86"/>
    </row>
    <row r="109" spans="2:31" ht="20.100000000000001" customHeight="1" x14ac:dyDescent="0.15">
      <c r="B109" s="16">
        <f t="shared" si="1"/>
        <v>105</v>
      </c>
      <c r="C109" s="62"/>
      <c r="D109" s="62"/>
      <c r="E109" s="24"/>
      <c r="F109" s="24"/>
      <c r="G109" s="59"/>
      <c r="H109" s="59"/>
      <c r="I109" s="59"/>
      <c r="J109" s="59"/>
      <c r="K109" s="63"/>
      <c r="L109" s="64"/>
      <c r="M109" s="59"/>
      <c r="N109" s="59"/>
      <c r="O109" s="24"/>
      <c r="P109" s="65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66"/>
      <c r="AB109" s="66"/>
      <c r="AC109" s="24"/>
      <c r="AD109" s="85"/>
      <c r="AE109" s="86"/>
    </row>
    <row r="110" spans="2:31" ht="20.100000000000001" customHeight="1" x14ac:dyDescent="0.15">
      <c r="B110" s="16">
        <f t="shared" si="1"/>
        <v>106</v>
      </c>
      <c r="C110" s="62"/>
      <c r="D110" s="62"/>
      <c r="E110" s="24"/>
      <c r="F110" s="24"/>
      <c r="G110" s="59"/>
      <c r="H110" s="59"/>
      <c r="I110" s="59"/>
      <c r="J110" s="59"/>
      <c r="K110" s="63"/>
      <c r="L110" s="64"/>
      <c r="M110" s="59"/>
      <c r="N110" s="59"/>
      <c r="O110" s="24"/>
      <c r="P110" s="65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66"/>
      <c r="AB110" s="66"/>
      <c r="AC110" s="24"/>
      <c r="AD110" s="85"/>
      <c r="AE110" s="86"/>
    </row>
    <row r="111" spans="2:31" ht="20.100000000000001" customHeight="1" x14ac:dyDescent="0.15">
      <c r="B111" s="16">
        <f t="shared" si="1"/>
        <v>107</v>
      </c>
      <c r="C111" s="62"/>
      <c r="D111" s="62"/>
      <c r="E111" s="24"/>
      <c r="F111" s="24"/>
      <c r="G111" s="59"/>
      <c r="H111" s="59"/>
      <c r="I111" s="59"/>
      <c r="J111" s="59"/>
      <c r="K111" s="63"/>
      <c r="L111" s="64"/>
      <c r="M111" s="59"/>
      <c r="N111" s="59"/>
      <c r="O111" s="24"/>
      <c r="P111" s="65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66"/>
      <c r="AB111" s="66"/>
      <c r="AC111" s="24"/>
      <c r="AD111" s="85"/>
      <c r="AE111" s="86"/>
    </row>
    <row r="112" spans="2:31" ht="20.100000000000001" customHeight="1" x14ac:dyDescent="0.15">
      <c r="B112" s="16">
        <f t="shared" si="1"/>
        <v>108</v>
      </c>
      <c r="C112" s="62"/>
      <c r="D112" s="62"/>
      <c r="E112" s="24"/>
      <c r="F112" s="24"/>
      <c r="G112" s="59"/>
      <c r="H112" s="59"/>
      <c r="I112" s="59"/>
      <c r="J112" s="59"/>
      <c r="K112" s="63"/>
      <c r="L112" s="64"/>
      <c r="M112" s="59"/>
      <c r="N112" s="59"/>
      <c r="O112" s="24"/>
      <c r="P112" s="65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66"/>
      <c r="AB112" s="66"/>
      <c r="AC112" s="24"/>
      <c r="AD112" s="85"/>
      <c r="AE112" s="86"/>
    </row>
    <row r="113" spans="2:31" ht="20.100000000000001" customHeight="1" x14ac:dyDescent="0.15">
      <c r="B113" s="16">
        <f t="shared" si="1"/>
        <v>109</v>
      </c>
      <c r="C113" s="62"/>
      <c r="D113" s="62"/>
      <c r="E113" s="24"/>
      <c r="F113" s="24"/>
      <c r="G113" s="59"/>
      <c r="H113" s="59"/>
      <c r="I113" s="59"/>
      <c r="J113" s="59"/>
      <c r="K113" s="63"/>
      <c r="L113" s="64"/>
      <c r="M113" s="59"/>
      <c r="N113" s="59"/>
      <c r="O113" s="24"/>
      <c r="P113" s="65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66"/>
      <c r="AB113" s="66"/>
      <c r="AC113" s="24"/>
      <c r="AD113" s="85"/>
      <c r="AE113" s="86"/>
    </row>
    <row r="114" spans="2:31" ht="20.100000000000001" customHeight="1" x14ac:dyDescent="0.15">
      <c r="B114" s="16">
        <f t="shared" si="1"/>
        <v>110</v>
      </c>
      <c r="C114" s="62"/>
      <c r="D114" s="62"/>
      <c r="E114" s="24"/>
      <c r="F114" s="24"/>
      <c r="G114" s="59"/>
      <c r="H114" s="59"/>
      <c r="I114" s="59"/>
      <c r="J114" s="59"/>
      <c r="K114" s="63"/>
      <c r="L114" s="64"/>
      <c r="M114" s="59"/>
      <c r="N114" s="59"/>
      <c r="O114" s="24"/>
      <c r="P114" s="65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66"/>
      <c r="AB114" s="66"/>
      <c r="AC114" s="24"/>
      <c r="AD114" s="85"/>
      <c r="AE114" s="86"/>
    </row>
    <row r="115" spans="2:31" ht="20.100000000000001" customHeight="1" x14ac:dyDescent="0.15">
      <c r="B115" s="16">
        <f t="shared" si="1"/>
        <v>111</v>
      </c>
      <c r="C115" s="62"/>
      <c r="D115" s="62"/>
      <c r="E115" s="24"/>
      <c r="F115" s="24"/>
      <c r="G115" s="59"/>
      <c r="H115" s="59"/>
      <c r="I115" s="59"/>
      <c r="J115" s="59"/>
      <c r="K115" s="63"/>
      <c r="L115" s="64"/>
      <c r="M115" s="59"/>
      <c r="N115" s="59"/>
      <c r="O115" s="24"/>
      <c r="P115" s="65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66"/>
      <c r="AB115" s="66"/>
      <c r="AC115" s="24"/>
      <c r="AD115" s="85"/>
      <c r="AE115" s="86"/>
    </row>
    <row r="116" spans="2:31" ht="20.100000000000001" customHeight="1" x14ac:dyDescent="0.15">
      <c r="B116" s="16">
        <f t="shared" si="1"/>
        <v>112</v>
      </c>
      <c r="C116" s="62"/>
      <c r="D116" s="62"/>
      <c r="E116" s="24"/>
      <c r="F116" s="24"/>
      <c r="G116" s="59"/>
      <c r="H116" s="59"/>
      <c r="I116" s="59"/>
      <c r="J116" s="59"/>
      <c r="K116" s="63"/>
      <c r="L116" s="64"/>
      <c r="M116" s="59"/>
      <c r="N116" s="59"/>
      <c r="O116" s="24"/>
      <c r="P116" s="65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66"/>
      <c r="AB116" s="66"/>
      <c r="AC116" s="24"/>
      <c r="AD116" s="85"/>
      <c r="AE116" s="86"/>
    </row>
    <row r="117" spans="2:31" ht="20.100000000000001" customHeight="1" x14ac:dyDescent="0.15">
      <c r="B117" s="16">
        <f t="shared" si="1"/>
        <v>113</v>
      </c>
      <c r="C117" s="62"/>
      <c r="D117" s="62"/>
      <c r="E117" s="24"/>
      <c r="F117" s="24"/>
      <c r="G117" s="59"/>
      <c r="H117" s="59"/>
      <c r="I117" s="59"/>
      <c r="J117" s="59"/>
      <c r="K117" s="63"/>
      <c r="L117" s="64"/>
      <c r="M117" s="59"/>
      <c r="N117" s="59"/>
      <c r="O117" s="24"/>
      <c r="P117" s="65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66"/>
      <c r="AB117" s="66"/>
      <c r="AC117" s="24"/>
      <c r="AD117" s="85"/>
      <c r="AE117" s="86"/>
    </row>
    <row r="118" spans="2:31" ht="20.100000000000001" customHeight="1" x14ac:dyDescent="0.15">
      <c r="B118" s="16">
        <f t="shared" si="1"/>
        <v>114</v>
      </c>
      <c r="C118" s="62"/>
      <c r="D118" s="62"/>
      <c r="E118" s="24"/>
      <c r="F118" s="24"/>
      <c r="G118" s="59"/>
      <c r="H118" s="59"/>
      <c r="I118" s="59"/>
      <c r="J118" s="59"/>
      <c r="K118" s="63"/>
      <c r="L118" s="64"/>
      <c r="M118" s="59"/>
      <c r="N118" s="59"/>
      <c r="O118" s="24"/>
      <c r="P118" s="65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66"/>
      <c r="AB118" s="66"/>
      <c r="AC118" s="24"/>
      <c r="AD118" s="85"/>
      <c r="AE118" s="86"/>
    </row>
    <row r="119" spans="2:31" ht="20.100000000000001" customHeight="1" x14ac:dyDescent="0.15">
      <c r="B119" s="16">
        <f t="shared" si="1"/>
        <v>115</v>
      </c>
      <c r="C119" s="62"/>
      <c r="D119" s="62"/>
      <c r="E119" s="24"/>
      <c r="F119" s="24"/>
      <c r="G119" s="59"/>
      <c r="H119" s="59"/>
      <c r="I119" s="59"/>
      <c r="J119" s="59"/>
      <c r="K119" s="63"/>
      <c r="L119" s="64"/>
      <c r="M119" s="59"/>
      <c r="N119" s="59"/>
      <c r="O119" s="24"/>
      <c r="P119" s="65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66"/>
      <c r="AB119" s="66"/>
      <c r="AC119" s="24"/>
      <c r="AD119" s="85"/>
      <c r="AE119" s="86"/>
    </row>
    <row r="120" spans="2:31" ht="20.100000000000001" customHeight="1" x14ac:dyDescent="0.15">
      <c r="B120" s="16">
        <f t="shared" si="1"/>
        <v>116</v>
      </c>
      <c r="C120" s="62"/>
      <c r="D120" s="62"/>
      <c r="E120" s="24"/>
      <c r="F120" s="24"/>
      <c r="G120" s="59"/>
      <c r="H120" s="59"/>
      <c r="I120" s="59"/>
      <c r="J120" s="59"/>
      <c r="K120" s="63"/>
      <c r="L120" s="64"/>
      <c r="M120" s="59"/>
      <c r="N120" s="59"/>
      <c r="O120" s="24"/>
      <c r="P120" s="65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66"/>
      <c r="AB120" s="66"/>
      <c r="AC120" s="24"/>
      <c r="AD120" s="85"/>
      <c r="AE120" s="86"/>
    </row>
    <row r="121" spans="2:31" ht="20.100000000000001" customHeight="1" thickBot="1" x14ac:dyDescent="0.2">
      <c r="B121" s="16">
        <f t="shared" si="1"/>
        <v>117</v>
      </c>
      <c r="C121" s="27"/>
      <c r="D121" s="27"/>
      <c r="E121" s="22"/>
      <c r="F121" s="22"/>
      <c r="G121" s="20"/>
      <c r="H121" s="20"/>
      <c r="I121" s="20"/>
      <c r="J121" s="20"/>
      <c r="K121" s="39"/>
      <c r="L121" s="41"/>
      <c r="M121" s="20"/>
      <c r="N121" s="20"/>
      <c r="O121" s="22"/>
      <c r="P121" s="21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3"/>
      <c r="AB121" s="23"/>
      <c r="AC121" s="22"/>
      <c r="AD121" s="87"/>
      <c r="AE121" s="88"/>
    </row>
    <row r="122" spans="2:31" ht="20.100000000000001" customHeight="1" thickTop="1" x14ac:dyDescent="0.15"/>
  </sheetData>
  <autoFilter ref="B3:AE121" xr:uid="{00000000-0009-0000-0000-000000000000}"/>
  <mergeCells count="2">
    <mergeCell ref="O2:AE2"/>
    <mergeCell ref="AA85:AA89"/>
  </mergeCells>
  <phoneticPr fontId="1" type="noConversion"/>
  <conditionalFormatting sqref="G4">
    <cfRule type="cellIs" dxfId="131" priority="91" operator="equal">
      <formula>"非标外购"</formula>
    </cfRule>
    <cfRule type="cellIs" dxfId="130" priority="92" operator="equal">
      <formula>"非标自制"</formula>
    </cfRule>
    <cfRule type="cellIs" dxfId="129" priority="93" operator="equal">
      <formula>"标准外购"</formula>
    </cfRule>
  </conditionalFormatting>
  <conditionalFormatting sqref="K56">
    <cfRule type="expression" dxfId="128" priority="28">
      <formula>$I56="完成"</formula>
    </cfRule>
    <cfRule type="expression" dxfId="127" priority="29">
      <formula>$I56="设备验收"</formula>
    </cfRule>
    <cfRule type="expression" dxfId="126" priority="30">
      <formula>$I56="设备接收"</formula>
    </cfRule>
    <cfRule type="expression" dxfId="125" priority="32">
      <formula>$I56="设备采购"</formula>
    </cfRule>
    <cfRule type="expression" dxfId="124" priority="31">
      <formula>$I56="预验收/组装调试"</formula>
    </cfRule>
  </conditionalFormatting>
  <conditionalFormatting sqref="L5:L30 L90:L121">
    <cfRule type="expression" dxfId="123" priority="276">
      <formula>$I5="预验收/组装调试"</formula>
    </cfRule>
    <cfRule type="expression" dxfId="122" priority="280">
      <formula>$I5="设备采购"</formula>
    </cfRule>
  </conditionalFormatting>
  <conditionalFormatting sqref="L5:L84">
    <cfRule type="expression" dxfId="121" priority="55">
      <formula>$I5="设备接收"</formula>
    </cfRule>
    <cfRule type="expression" dxfId="120" priority="54">
      <formula>$I5="设备验收"</formula>
    </cfRule>
    <cfRule type="expression" dxfId="119" priority="53">
      <formula>$I5="完成"</formula>
    </cfRule>
  </conditionalFormatting>
  <conditionalFormatting sqref="L31:L58">
    <cfRule type="expression" dxfId="118" priority="155">
      <formula>$I31="设备采购"</formula>
    </cfRule>
  </conditionalFormatting>
  <conditionalFormatting sqref="L59:L84">
    <cfRule type="expression" dxfId="117" priority="57">
      <formula>$I59="设备采购"</formula>
    </cfRule>
  </conditionalFormatting>
  <conditionalFormatting sqref="L90:L121">
    <cfRule type="expression" dxfId="116" priority="274">
      <formula>$I90="设备验收"</formula>
    </cfRule>
    <cfRule type="expression" dxfId="115" priority="273">
      <formula>$I90="完成"</formula>
    </cfRule>
    <cfRule type="expression" dxfId="114" priority="275">
      <formula>$I90="设备接收"</formula>
    </cfRule>
  </conditionalFormatting>
  <conditionalFormatting sqref="M1">
    <cfRule type="cellIs" dxfId="113" priority="272" operator="equal">
      <formula>"暂停"</formula>
    </cfRule>
  </conditionalFormatting>
  <conditionalFormatting sqref="M1:M1048576">
    <cfRule type="cellIs" dxfId="112" priority="46" operator="equal">
      <formula>"已完成"</formula>
    </cfRule>
  </conditionalFormatting>
  <conditionalFormatting sqref="M3:M1048576">
    <cfRule type="cellIs" dxfId="111" priority="52" operator="equal">
      <formula>"暂停"</formula>
    </cfRule>
  </conditionalFormatting>
  <conditionalFormatting sqref="O5:O67">
    <cfRule type="expression" dxfId="110" priority="81">
      <formula>$I5="设备采购"</formula>
    </cfRule>
  </conditionalFormatting>
  <conditionalFormatting sqref="O6">
    <cfRule type="expression" dxfId="109" priority="198">
      <formula>$I6="立项评审"</formula>
    </cfRule>
    <cfRule type="expression" dxfId="108" priority="195">
      <formula>$I6="预验收"</formula>
    </cfRule>
  </conditionalFormatting>
  <conditionalFormatting sqref="O8">
    <cfRule type="expression" dxfId="107" priority="202">
      <formula>$I8="预验收"</formula>
    </cfRule>
    <cfRule type="expression" dxfId="106" priority="205">
      <formula>$I8="立项评审"</formula>
    </cfRule>
  </conditionalFormatting>
  <conditionalFormatting sqref="O25:O27">
    <cfRule type="expression" dxfId="105" priority="191">
      <formula>$I25="立项评审"</formula>
    </cfRule>
    <cfRule type="expression" dxfId="104" priority="188">
      <formula>$I25="预验收"</formula>
    </cfRule>
  </conditionalFormatting>
  <conditionalFormatting sqref="O31">
    <cfRule type="expression" dxfId="103" priority="176">
      <formula>$I31="立项评审"</formula>
    </cfRule>
  </conditionalFormatting>
  <conditionalFormatting sqref="O39">
    <cfRule type="expression" dxfId="102" priority="101">
      <formula>$I39="预验收"</formula>
    </cfRule>
  </conditionalFormatting>
  <conditionalFormatting sqref="O39:O43">
    <cfRule type="expression" dxfId="101" priority="104">
      <formula>$I39="立项评审"</formula>
    </cfRule>
  </conditionalFormatting>
  <conditionalFormatting sqref="O40:O67">
    <cfRule type="expression" dxfId="100" priority="80">
      <formula>$I40="预验收/组装调试"</formula>
    </cfRule>
  </conditionalFormatting>
  <conditionalFormatting sqref="O44:O58">
    <cfRule type="expression" dxfId="99" priority="90">
      <formula>$I44="立项评审"</formula>
    </cfRule>
  </conditionalFormatting>
  <conditionalFormatting sqref="O59:O67">
    <cfRule type="expression" dxfId="98" priority="79">
      <formula>$I59="设备接收"</formula>
    </cfRule>
    <cfRule type="expression" dxfId="97" priority="82">
      <formula>$I59="方案评审"</formula>
    </cfRule>
    <cfRule type="expression" dxfId="96" priority="83">
      <formula>$I59="立项评审"</formula>
    </cfRule>
    <cfRule type="expression" dxfId="95" priority="78">
      <formula>$I59="设备验收"</formula>
    </cfRule>
    <cfRule type="expression" dxfId="94" priority="77">
      <formula>$I59="完成"</formula>
    </cfRule>
  </conditionalFormatting>
  <conditionalFormatting sqref="O65:O84">
    <cfRule type="expression" dxfId="93" priority="27">
      <formula>$I65="立项评审"</formula>
    </cfRule>
    <cfRule type="expression" dxfId="92" priority="26">
      <formula>$I65="方案评审"</formula>
    </cfRule>
    <cfRule type="expression" dxfId="91" priority="25">
      <formula>$I65="设备采购"</formula>
    </cfRule>
    <cfRule type="expression" dxfId="90" priority="24">
      <formula>$I65="预验收/组装调试"</formula>
    </cfRule>
    <cfRule type="expression" dxfId="89" priority="23">
      <formula>$I65="设备接收"</formula>
    </cfRule>
    <cfRule type="expression" dxfId="88" priority="22">
      <formula>$I65="设备验收"</formula>
    </cfRule>
    <cfRule type="expression" dxfId="87" priority="21">
      <formula>$I65="完成"</formula>
    </cfRule>
  </conditionalFormatting>
  <conditionalFormatting sqref="O69 O5 O7 O9:O24 O28:O30 O32:O38">
    <cfRule type="expression" dxfId="86" priority="447">
      <formula>$I5="预验收/组装调试"</formula>
    </cfRule>
    <cfRule type="expression" dxfId="85" priority="470">
      <formula>$I5="立项评审"</formula>
    </cfRule>
  </conditionalFormatting>
  <conditionalFormatting sqref="O69">
    <cfRule type="expression" dxfId="84" priority="446">
      <formula>$I69="设备接收"</formula>
    </cfRule>
    <cfRule type="expression" dxfId="83" priority="445">
      <formula>$I69="设备验收"</formula>
    </cfRule>
    <cfRule type="expression" dxfId="82" priority="449">
      <formula>$I69="方案评审"</formula>
    </cfRule>
    <cfRule type="expression" dxfId="81" priority="448">
      <formula>$I69="设备采购"</formula>
    </cfRule>
    <cfRule type="expression" dxfId="80" priority="444">
      <formula>$I69="完成"</formula>
    </cfRule>
  </conditionalFormatting>
  <conditionalFormatting sqref="O90:O121">
    <cfRule type="expression" dxfId="79" priority="2">
      <formula>$I90="设备验收"</formula>
    </cfRule>
    <cfRule type="expression" dxfId="78" priority="3">
      <formula>$I90="设备接收"</formula>
    </cfRule>
    <cfRule type="expression" dxfId="77" priority="4">
      <formula>$I90="预验收/组装调试"</formula>
    </cfRule>
    <cfRule type="expression" dxfId="76" priority="5">
      <formula>$I90="设备采购"</formula>
    </cfRule>
    <cfRule type="expression" dxfId="75" priority="6">
      <formula>$I90="方案评审"</formula>
    </cfRule>
    <cfRule type="expression" dxfId="74" priority="7">
      <formula>$I90="立项评审"</formula>
    </cfRule>
    <cfRule type="expression" dxfId="73" priority="1">
      <formula>$I90="完成"</formula>
    </cfRule>
  </conditionalFormatting>
  <conditionalFormatting sqref="O5:P58">
    <cfRule type="expression" dxfId="72" priority="85">
      <formula>$I5="设备验收"</formula>
    </cfRule>
    <cfRule type="expression" dxfId="71" priority="86">
      <formula>$I5="设备接收"</formula>
    </cfRule>
    <cfRule type="expression" dxfId="70" priority="89">
      <formula>$I5="方案评审"</formula>
    </cfRule>
    <cfRule type="expression" dxfId="69" priority="84">
      <formula>$I5="完成"</formula>
    </cfRule>
  </conditionalFormatting>
  <conditionalFormatting sqref="O4:Q4 V4:AB4">
    <cfRule type="expression" dxfId="68" priority="94">
      <formula>$G$4="标准外购"</formula>
    </cfRule>
  </conditionalFormatting>
  <conditionalFormatting sqref="O4:R4 V4:AB4">
    <cfRule type="expression" dxfId="67" priority="95">
      <formula>$G$4="非标自制"</formula>
    </cfRule>
  </conditionalFormatting>
  <conditionalFormatting sqref="O4:AB4">
    <cfRule type="expression" dxfId="66" priority="96">
      <formula>$G$4="非标外购"</formula>
    </cfRule>
  </conditionalFormatting>
  <conditionalFormatting sqref="P5:P30">
    <cfRule type="expression" dxfId="65" priority="291">
      <formula>$I5="设备采购"</formula>
    </cfRule>
    <cfRule type="expression" dxfId="64" priority="289">
      <formula>$I5="项目需求"</formula>
    </cfRule>
    <cfRule type="expression" dxfId="63" priority="286">
      <formula>$I5="预验收/组装调试"</formula>
    </cfRule>
  </conditionalFormatting>
  <conditionalFormatting sqref="P5:P121">
    <cfRule type="expression" dxfId="62" priority="63">
      <formula>$I5="立项评审"</formula>
    </cfRule>
  </conditionalFormatting>
  <conditionalFormatting sqref="P31:P58">
    <cfRule type="expression" dxfId="61" priority="162">
      <formula>$I31="项目需求"</formula>
    </cfRule>
    <cfRule type="expression" dxfId="60" priority="163">
      <formula>$I31="设备采购"</formula>
    </cfRule>
  </conditionalFormatting>
  <conditionalFormatting sqref="P59:P121">
    <cfRule type="expression" dxfId="59" priority="60">
      <formula>$I59="设备接收"</formula>
    </cfRule>
    <cfRule type="expression" dxfId="58" priority="64">
      <formula>$I59="项目需求"</formula>
    </cfRule>
    <cfRule type="expression" dxfId="57" priority="59">
      <formula>$I59="设备验收"</formula>
    </cfRule>
    <cfRule type="expression" dxfId="56" priority="58">
      <formula>$I59="完成"</formula>
    </cfRule>
    <cfRule type="expression" dxfId="55" priority="65">
      <formula>$I59="设备采购"</formula>
    </cfRule>
    <cfRule type="expression" dxfId="54" priority="62">
      <formula>$I59="方案评审"</formula>
    </cfRule>
  </conditionalFormatting>
  <conditionalFormatting sqref="Q5:Q8">
    <cfRule type="expression" dxfId="53" priority="322">
      <formula>$I5="设备验收"</formula>
    </cfRule>
    <cfRule type="expression" dxfId="52" priority="320">
      <formula>$I5="方案评审"</formula>
    </cfRule>
    <cfRule type="expression" dxfId="51" priority="323">
      <formula>$I5="设备接收"</formula>
    </cfRule>
  </conditionalFormatting>
  <conditionalFormatting sqref="Q5:Q9">
    <cfRule type="expression" dxfId="50" priority="239">
      <formula>$I5="预验收"</formula>
    </cfRule>
  </conditionalFormatting>
  <conditionalFormatting sqref="Q5:Q121">
    <cfRule type="expression" dxfId="49" priority="240">
      <formula>$I5="设备采购"</formula>
    </cfRule>
  </conditionalFormatting>
  <conditionalFormatting sqref="Q9:Q29">
    <cfRule type="expression" dxfId="48" priority="243">
      <formula>$I9="设备接收"</formula>
    </cfRule>
    <cfRule type="expression" dxfId="47" priority="242">
      <formula>$I9="设备验收"</formula>
    </cfRule>
  </conditionalFormatting>
  <conditionalFormatting sqref="Q9:Q30">
    <cfRule type="expression" dxfId="46" priority="241">
      <formula>$I9="方案评审"</formula>
    </cfRule>
  </conditionalFormatting>
  <conditionalFormatting sqref="Q9:Q121">
    <cfRule type="expression" dxfId="45" priority="238">
      <formula>$I9="完成"</formula>
    </cfRule>
  </conditionalFormatting>
  <conditionalFormatting sqref="Q30:Q76">
    <cfRule type="expression" dxfId="44" priority="168">
      <formula>$I30="设备验收"</formula>
    </cfRule>
    <cfRule type="expression" dxfId="43" priority="169">
      <formula>$I30="设备接收"</formula>
    </cfRule>
  </conditionalFormatting>
  <conditionalFormatting sqref="Q31:Q58">
    <cfRule type="expression" dxfId="42" priority="167">
      <formula>$I31="方案评审"</formula>
    </cfRule>
  </conditionalFormatting>
  <conditionalFormatting sqref="Q59:Q76 Q78:Q121">
    <cfRule type="expression" dxfId="41" priority="431">
      <formula>$I59="方案评审"</formula>
    </cfRule>
  </conditionalFormatting>
  <conditionalFormatting sqref="Q77">
    <cfRule type="expression" dxfId="40" priority="13">
      <formula>$I77="方案评审"</formula>
    </cfRule>
    <cfRule type="expression" dxfId="39" priority="14">
      <formula>$I77="立项评审"</formula>
    </cfRule>
  </conditionalFormatting>
  <conditionalFormatting sqref="Q77:Q121">
    <cfRule type="expression" dxfId="38" priority="10">
      <formula>$I77="设备接收"</formula>
    </cfRule>
    <cfRule type="expression" dxfId="37" priority="9">
      <formula>$I77="设备验收"</formula>
    </cfRule>
  </conditionalFormatting>
  <conditionalFormatting sqref="Q5:Z8">
    <cfRule type="expression" dxfId="36" priority="261">
      <formula>$I5="完成"</formula>
    </cfRule>
  </conditionalFormatting>
  <conditionalFormatting sqref="R5:R8">
    <cfRule type="expression" dxfId="35" priority="258">
      <formula>$I5="预验收/组装调试"</formula>
    </cfRule>
  </conditionalFormatting>
  <conditionalFormatting sqref="R5:R121">
    <cfRule type="expression" dxfId="34" priority="47">
      <formula>$I5="设备采购"</formula>
    </cfRule>
    <cfRule type="expression" dxfId="33" priority="50">
      <formula>$I5="设备验收"</formula>
    </cfRule>
  </conditionalFormatting>
  <conditionalFormatting sqref="R9 L31 O31:Q31">
    <cfRule type="expression" dxfId="32" priority="154">
      <formula>$I9="预验收"</formula>
    </cfRule>
  </conditionalFormatting>
  <conditionalFormatting sqref="R9:R121">
    <cfRule type="expression" dxfId="31" priority="49">
      <formula>$I9="设备接收"</formula>
    </cfRule>
    <cfRule type="expression" dxfId="30" priority="51">
      <formula>$I9="完成"</formula>
    </cfRule>
  </conditionalFormatting>
  <conditionalFormatting sqref="R10:R121 P32:Q121 Q10:Q30 L32:L84">
    <cfRule type="expression" dxfId="29" priority="56">
      <formula>$I10="预验收/组装调试"</formula>
    </cfRule>
  </conditionalFormatting>
  <conditionalFormatting sqref="R5:T8">
    <cfRule type="expression" dxfId="28" priority="259">
      <formula>$I5="设备接收"</formula>
    </cfRule>
  </conditionalFormatting>
  <conditionalFormatting sqref="S5:S8 S10:S27 S29:S47 S49:S121">
    <cfRule type="expression" dxfId="27" priority="411">
      <formula>$I5="设备验收"</formula>
    </cfRule>
  </conditionalFormatting>
  <conditionalFormatting sqref="S9">
    <cfRule type="expression" dxfId="26" priority="256">
      <formula>$I9="设备验收"</formula>
    </cfRule>
  </conditionalFormatting>
  <conditionalFormatting sqref="S28">
    <cfRule type="expression" dxfId="25" priority="184">
      <formula>$I28="设备验收"</formula>
    </cfRule>
  </conditionalFormatting>
  <conditionalFormatting sqref="S9:T9">
    <cfRule type="expression" dxfId="24" priority="252">
      <formula>$I9="预验收"</formula>
    </cfRule>
  </conditionalFormatting>
  <conditionalFormatting sqref="S9:T47">
    <cfRule type="expression" dxfId="23" priority="178">
      <formula>$I9="设备接收"</formula>
    </cfRule>
  </conditionalFormatting>
  <conditionalFormatting sqref="S10:T47">
    <cfRule type="expression" dxfId="22" priority="179">
      <formula>$I10="完成"</formula>
    </cfRule>
  </conditionalFormatting>
  <conditionalFormatting sqref="S28:T28">
    <cfRule type="expression" dxfId="21" priority="180">
      <formula>$I28="预验收"</formula>
    </cfRule>
  </conditionalFormatting>
  <conditionalFormatting sqref="S49:T121 S5:T8 S10:T27 S29:T47">
    <cfRule type="expression" dxfId="20" priority="399">
      <formula>$I5="预验收/组装调试"</formula>
    </cfRule>
  </conditionalFormatting>
  <conditionalFormatting sqref="S49:T121">
    <cfRule type="expression" dxfId="19" priority="397">
      <formula>$I49="设备接收"</formula>
    </cfRule>
  </conditionalFormatting>
  <conditionalFormatting sqref="S9:U9">
    <cfRule type="expression" dxfId="18" priority="248">
      <formula>$I9="完成"</formula>
    </cfRule>
  </conditionalFormatting>
  <conditionalFormatting sqref="S49:U121 U10:U47">
    <cfRule type="expression" dxfId="17" priority="390">
      <formula>$I10="完成"</formula>
    </cfRule>
  </conditionalFormatting>
  <conditionalFormatting sqref="S48:V48">
    <cfRule type="expression" dxfId="16" priority="36">
      <formula>$I48="完成"</formula>
    </cfRule>
    <cfRule type="expression" dxfId="15" priority="35">
      <formula>$M48="已完成"</formula>
    </cfRule>
  </conditionalFormatting>
  <conditionalFormatting sqref="T5:U47">
    <cfRule type="expression" dxfId="14" priority="177">
      <formula>$I5="设备验收"</formula>
    </cfRule>
  </conditionalFormatting>
  <conditionalFormatting sqref="T49:U121">
    <cfRule type="expression" dxfId="13" priority="388">
      <formula>$I49="设备验收"</formula>
    </cfRule>
  </conditionalFormatting>
  <conditionalFormatting sqref="U5:U47">
    <cfRule type="expression" dxfId="12" priority="247">
      <formula>$I5="设备接收"</formula>
    </cfRule>
  </conditionalFormatting>
  <conditionalFormatting sqref="U49:U121">
    <cfRule type="expression" dxfId="11" priority="389">
      <formula>$I49="设备接收"</formula>
    </cfRule>
  </conditionalFormatting>
  <conditionalFormatting sqref="V42:V44">
    <cfRule type="expression" dxfId="10" priority="43">
      <formula>$I42="设备验收"</formula>
    </cfRule>
    <cfRule type="expression" dxfId="9" priority="45">
      <formula>$I42="完成"</formula>
    </cfRule>
    <cfRule type="expression" dxfId="8" priority="44">
      <formula>$I42="设备接收"</formula>
    </cfRule>
  </conditionalFormatting>
  <conditionalFormatting sqref="V9:Z29">
    <cfRule type="expression" dxfId="7" priority="226">
      <formula>$I9="完成"</formula>
    </cfRule>
  </conditionalFormatting>
  <conditionalFormatting sqref="V5:AB41">
    <cfRule type="expression" dxfId="6" priority="225">
      <formula>$I5="设备验收"</formula>
    </cfRule>
  </conditionalFormatting>
  <conditionalFormatting sqref="W42:Y42 W43:AB43 W44:Y44 V45:AB47 W48:Y48 V49:AB85 V86:Z89 V90:AB121 AA5:AB29 V30:AB41">
    <cfRule type="expression" dxfId="5" priority="382">
      <formula>$I5="完成"</formula>
    </cfRule>
  </conditionalFormatting>
  <conditionalFormatting sqref="W42:Y42 W43:AB43 W44:Y44 V45:AB47 W48:Y48 V49:AB85 V86:Z89 V90:AB121">
    <cfRule type="expression" dxfId="4" priority="381">
      <formula>$I42="设备验收"</formula>
    </cfRule>
  </conditionalFormatting>
  <conditionalFormatting sqref="Z42:AB42 Z44:AB44">
    <cfRule type="expression" dxfId="3" priority="41">
      <formula>$M42="已完成"</formula>
    </cfRule>
    <cfRule type="expression" dxfId="2" priority="42">
      <formula>$I42="完成"</formula>
    </cfRule>
  </conditionalFormatting>
  <conditionalFormatting sqref="Z48:AB48">
    <cfRule type="expression" dxfId="1" priority="34">
      <formula>$I48="完成"</formula>
    </cfRule>
    <cfRule type="expression" dxfId="0" priority="33">
      <formula>$M48="已完成"</formula>
    </cfRule>
  </conditionalFormatting>
  <dataValidations count="5">
    <dataValidation type="list" allowBlank="1" showInputMessage="1" showErrorMessage="1" sqref="M1 M5:M1048576" xr:uid="{00000000-0002-0000-0000-000000000000}">
      <formula1>"未启动,进行中,暂停,已完成"</formula1>
    </dataValidation>
    <dataValidation type="list" allowBlank="1" showInputMessage="1" showErrorMessage="1" sqref="AC122:AC1048576 AD1:AD1048576 AA42:AB42 AA44:AB44 AA48:AB48 P1:Z1 AC1 P5:Z1048576" xr:uid="{00000000-0002-0000-0000-000001000000}">
      <formula1>"√,/"</formula1>
    </dataValidation>
    <dataValidation type="list" allowBlank="1" showInputMessage="1" showErrorMessage="1" sqref="H1:H2 H5:H1048576 G85:G89" xr:uid="{00000000-0002-0000-0000-000002000000}">
      <formula1>"新增,改善,复制"</formula1>
    </dataValidation>
    <dataValidation type="list" allowBlank="1" showInputMessage="1" showErrorMessage="1" sqref="G1:G2 G4:G84 G90:G1048576" xr:uid="{00000000-0002-0000-0000-000003000000}">
      <formula1>"非标外购,非标自制,标准外购"</formula1>
    </dataValidation>
    <dataValidation type="list" allowBlank="1" showInputMessage="1" showErrorMessage="1" sqref="I1:I1048576" xr:uid="{00000000-0002-0000-0000-000004000000}">
      <formula1>"项目需求,立项评审,方案评审,设备采购,预验收/组装调试,设备验收,完成"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workbookViewId="0">
      <selection activeCell="C21" sqref="C21"/>
    </sheetView>
  </sheetViews>
  <sheetFormatPr defaultRowHeight="13.5" x14ac:dyDescent="0.15"/>
  <cols>
    <col min="1" max="1" width="6.625" style="1" customWidth="1"/>
    <col min="2" max="2" width="16.75" style="1" customWidth="1"/>
    <col min="3" max="3" width="9.75" style="1" customWidth="1"/>
    <col min="4" max="11" width="10.5" style="1" bestFit="1" customWidth="1"/>
    <col min="12" max="12" width="34.875" style="1" customWidth="1"/>
    <col min="13" max="16384" width="9" style="1"/>
  </cols>
  <sheetData>
    <row r="1" spans="1:12" ht="21.75" customHeight="1" x14ac:dyDescent="0.15">
      <c r="A1" s="102" t="s">
        <v>165</v>
      </c>
      <c r="B1" s="102" t="s">
        <v>156</v>
      </c>
      <c r="C1" s="102" t="s">
        <v>166</v>
      </c>
      <c r="D1" s="99" t="s">
        <v>2</v>
      </c>
      <c r="E1" s="100"/>
      <c r="F1" s="100"/>
      <c r="G1" s="100"/>
      <c r="H1" s="100"/>
      <c r="I1" s="100"/>
      <c r="J1" s="100"/>
      <c r="K1" s="101"/>
    </row>
    <row r="2" spans="1:12" ht="21.75" customHeight="1" x14ac:dyDescent="0.15">
      <c r="A2" s="102"/>
      <c r="B2" s="102"/>
      <c r="C2" s="102"/>
      <c r="D2" s="4" t="s">
        <v>157</v>
      </c>
      <c r="E2" s="4" t="s">
        <v>158</v>
      </c>
      <c r="F2" s="4" t="s">
        <v>159</v>
      </c>
      <c r="G2" s="4" t="s">
        <v>160</v>
      </c>
      <c r="H2" s="4" t="s">
        <v>161</v>
      </c>
      <c r="I2" s="4" t="s">
        <v>162</v>
      </c>
      <c r="J2" s="4" t="s">
        <v>163</v>
      </c>
      <c r="K2" s="4" t="s">
        <v>164</v>
      </c>
      <c r="L2" s="1" t="s">
        <v>171</v>
      </c>
    </row>
    <row r="3" spans="1:12" ht="21.75" customHeight="1" x14ac:dyDescent="0.15">
      <c r="A3" s="97">
        <v>1</v>
      </c>
      <c r="B3" s="97" t="s">
        <v>169</v>
      </c>
      <c r="C3" s="4" t="s">
        <v>167</v>
      </c>
      <c r="D3" s="51">
        <v>45345</v>
      </c>
      <c r="E3" s="51">
        <v>45363</v>
      </c>
      <c r="F3" s="51">
        <v>45373</v>
      </c>
      <c r="G3" s="51">
        <v>45402</v>
      </c>
      <c r="H3" s="51">
        <v>45444</v>
      </c>
      <c r="I3" s="51">
        <v>45453</v>
      </c>
      <c r="J3" s="51">
        <v>45469</v>
      </c>
      <c r="K3" s="51">
        <v>45484</v>
      </c>
      <c r="L3" s="52">
        <f t="shared" ref="L3:L8" si="0">COUNTA(D3:K3)/8</f>
        <v>1</v>
      </c>
    </row>
    <row r="4" spans="1:12" ht="21.75" customHeight="1" x14ac:dyDescent="0.15">
      <c r="A4" s="98"/>
      <c r="B4" s="98"/>
      <c r="C4" s="4" t="s">
        <v>168</v>
      </c>
      <c r="D4" s="51">
        <v>45348</v>
      </c>
      <c r="E4" s="51">
        <v>45366</v>
      </c>
      <c r="F4" s="4"/>
      <c r="G4" s="4"/>
      <c r="H4" s="4"/>
      <c r="I4" s="4"/>
      <c r="J4" s="4"/>
      <c r="K4" s="4"/>
      <c r="L4" s="52">
        <f t="shared" si="0"/>
        <v>0.25</v>
      </c>
    </row>
    <row r="5" spans="1:12" ht="21.75" customHeight="1" x14ac:dyDescent="0.15">
      <c r="A5" s="97">
        <v>2</v>
      </c>
      <c r="B5" s="97" t="s">
        <v>170</v>
      </c>
      <c r="C5" s="4" t="s">
        <v>167</v>
      </c>
      <c r="D5" s="51">
        <v>45345</v>
      </c>
      <c r="E5" s="51">
        <v>45363</v>
      </c>
      <c r="F5" s="51">
        <v>45373</v>
      </c>
      <c r="G5" s="51">
        <v>45402</v>
      </c>
      <c r="H5" s="51">
        <v>45444</v>
      </c>
      <c r="I5" s="51">
        <v>45453</v>
      </c>
      <c r="J5" s="51">
        <v>45469</v>
      </c>
      <c r="K5" s="51">
        <v>45484</v>
      </c>
      <c r="L5" s="52">
        <f t="shared" si="0"/>
        <v>1</v>
      </c>
    </row>
    <row r="6" spans="1:12" ht="21.75" customHeight="1" x14ac:dyDescent="0.15">
      <c r="A6" s="98"/>
      <c r="B6" s="98"/>
      <c r="C6" s="4" t="s">
        <v>168</v>
      </c>
      <c r="D6" s="51">
        <v>45348</v>
      </c>
      <c r="E6" s="51">
        <v>45366</v>
      </c>
      <c r="F6" s="51">
        <v>45373</v>
      </c>
      <c r="G6" s="4"/>
      <c r="H6" s="4"/>
      <c r="I6" s="4"/>
      <c r="J6" s="4"/>
      <c r="K6" s="4"/>
      <c r="L6" s="52">
        <f t="shared" si="0"/>
        <v>0.375</v>
      </c>
    </row>
    <row r="7" spans="1:12" ht="21.75" customHeight="1" x14ac:dyDescent="0.15">
      <c r="A7" s="97">
        <v>3</v>
      </c>
      <c r="B7" s="97" t="s">
        <v>172</v>
      </c>
      <c r="C7" s="4" t="s">
        <v>167</v>
      </c>
      <c r="D7" s="51">
        <v>45345</v>
      </c>
      <c r="E7" s="51">
        <v>45363</v>
      </c>
      <c r="F7" s="51">
        <v>45373</v>
      </c>
      <c r="G7" s="51">
        <v>45402</v>
      </c>
      <c r="H7" s="51">
        <v>45444</v>
      </c>
      <c r="I7" s="51">
        <v>45453</v>
      </c>
      <c r="J7" s="51">
        <v>45469</v>
      </c>
      <c r="K7" s="51">
        <v>45484</v>
      </c>
      <c r="L7" s="52">
        <f t="shared" si="0"/>
        <v>1</v>
      </c>
    </row>
    <row r="8" spans="1:12" ht="21.75" customHeight="1" x14ac:dyDescent="0.15">
      <c r="A8" s="98"/>
      <c r="B8" s="98"/>
      <c r="C8" s="4" t="s">
        <v>168</v>
      </c>
      <c r="D8" s="51">
        <v>45348</v>
      </c>
      <c r="E8" s="51">
        <v>45366</v>
      </c>
      <c r="F8" s="51">
        <v>45373</v>
      </c>
      <c r="G8" s="51">
        <v>45402</v>
      </c>
      <c r="H8" s="4"/>
      <c r="I8" s="4"/>
      <c r="J8" s="4"/>
      <c r="K8" s="4"/>
      <c r="L8" s="52">
        <f t="shared" si="0"/>
        <v>0.5</v>
      </c>
    </row>
    <row r="9" spans="1:12" ht="21.75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2" ht="21.75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2" ht="21.75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2" ht="21.75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2" ht="21.75" customHeight="1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2" ht="21.75" customHeight="1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2" ht="21.75" customHeight="1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2" ht="21.75" customHeight="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21.75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21.75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1.7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21.7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21.75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21.75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</sheetData>
  <mergeCells count="10">
    <mergeCell ref="B7:B8"/>
    <mergeCell ref="A7:A8"/>
    <mergeCell ref="A5:A6"/>
    <mergeCell ref="B5:B6"/>
    <mergeCell ref="D1:K1"/>
    <mergeCell ref="C1:C2"/>
    <mergeCell ref="B1:B2"/>
    <mergeCell ref="A1:A2"/>
    <mergeCell ref="B3:B4"/>
    <mergeCell ref="A3:A4"/>
  </mergeCells>
  <phoneticPr fontId="1" type="noConversion"/>
  <conditionalFormatting sqref="L3:L22">
    <cfRule type="dataBar" priority="1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{92783C47-B71F-4C18-B91D-3E38ACF8FB79}</x14:id>
        </ext>
      </extLst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83C47-B71F-4C18-B91D-3E38ACF8FB7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L3:L22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2022年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2025-10-19T11:23:34Z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b4151c9b-462c-47ba-afe7-41e5d060cb58</vt:lpwstr>
  </property>
</Properties>
</file>