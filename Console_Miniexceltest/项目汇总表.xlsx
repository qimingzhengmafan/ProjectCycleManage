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28920" windowHeight="12555"/>
  </bookViews>
  <sheets>
    <sheet name="2022年" sheetId="1" r:id="rId1"/>
    <sheet name="Sheet1" sheetId="2" r:id="rId2"/>
  </sheets>
  <definedNames>
    <definedName name="_xlnm._FilterDatabase" localSheetId="0" hidden="1">'2022年'!$B$3:$AJ$121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0" i="1" l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58" i="1"/>
  <c r="B59" i="1"/>
  <c r="B91" i="1" l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6" i="1" l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80" i="1"/>
  <c r="B81" i="1"/>
  <c r="B82" i="1"/>
  <c r="B83" i="1"/>
  <c r="B84" i="1"/>
  <c r="B85" i="1"/>
  <c r="B86" i="1"/>
  <c r="B87" i="1"/>
  <c r="B88" i="1"/>
  <c r="B89" i="1"/>
  <c r="B90" i="1"/>
  <c r="B121" i="1"/>
  <c r="B5" i="1"/>
  <c r="L8" i="2" l="1"/>
  <c r="L7" i="2"/>
  <c r="L6" i="2"/>
  <c r="L5" i="2"/>
  <c r="L4" i="2"/>
  <c r="L3" i="2"/>
</calcChain>
</file>

<file path=xl/comments1.xml><?xml version="1.0" encoding="utf-8"?>
<comments xmlns="http://schemas.openxmlformats.org/spreadsheetml/2006/main">
  <authors>
    <author>作者</author>
  </authors>
  <commentList>
    <comment ref="AB3" authorId="0" shapeId="0">
      <text>
        <r>
          <rPr>
            <b/>
            <sz val="9"/>
            <color indexed="81"/>
            <rFont val="宋体"/>
            <family val="3"/>
            <charset val="134"/>
          </rPr>
          <t>1.点检卡
2.一级保养
3.二级保养
4.履历卡
5.易损件清单</t>
        </r>
      </text>
    </comment>
    <comment ref="E6" authorId="0" shapeId="0">
      <text>
        <r>
          <rPr>
            <b/>
            <sz val="9"/>
            <color indexed="81"/>
            <rFont val="宋体"/>
            <family val="3"/>
            <charset val="134"/>
          </rPr>
          <t>cone模组玻璃管锥镜平移设备</t>
        </r>
      </text>
    </comment>
    <comment ref="E8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已打</t>
        </r>
      </text>
    </comment>
    <comment ref="AA1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厂家提供纸质说明书</t>
        </r>
      </text>
    </comment>
    <comment ref="E17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总价格包含供料系统</t>
        </r>
      </text>
    </comment>
    <comment ref="E18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总价包含供料系统</t>
        </r>
      </text>
    </comment>
    <comment ref="E22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DWRF01外壳螺丝供料机
通用三轴螺丝机平台</t>
        </r>
      </text>
    </comment>
    <comment ref="E25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已打</t>
        </r>
      </text>
    </comment>
    <comment ref="E27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已打</t>
        </r>
      </text>
    </comment>
    <comment ref="E30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已打</t>
        </r>
      </text>
    </comment>
    <comment ref="E31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已打</t>
        </r>
      </text>
    </comment>
    <comment ref="E32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已打</t>
        </r>
      </text>
    </comment>
    <comment ref="E35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已打</t>
        </r>
      </text>
    </comment>
    <comment ref="E37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已打</t>
        </r>
      </text>
    </comment>
    <comment ref="M37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预计6-7月开始启动开发</t>
        </r>
      </text>
    </comment>
    <comment ref="E41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已打</t>
        </r>
      </text>
    </comment>
    <comment ref="E42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已打</t>
        </r>
      </text>
    </comment>
    <comment ref="E44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已打</t>
        </r>
      </text>
    </comment>
    <comment ref="E45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已打</t>
        </r>
      </text>
    </comment>
    <comment ref="E46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已打</t>
        </r>
      </text>
    </comment>
    <comment ref="E47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已打</t>
        </r>
      </text>
    </comment>
    <comment ref="E48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已打</t>
        </r>
      </text>
    </comment>
    <comment ref="E49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已打</t>
        </r>
      </text>
    </comment>
    <comment ref="E50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已打</t>
        </r>
      </text>
    </comment>
    <comment ref="E51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已打</t>
        </r>
      </text>
    </comment>
    <comment ref="E5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已打</t>
        </r>
      </text>
    </comment>
    <comment ref="E54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已打</t>
        </r>
      </text>
    </comment>
    <comment ref="E55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已打</t>
        </r>
      </text>
    </comment>
    <comment ref="M55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预计6-7月开始启动开发</t>
        </r>
      </text>
    </comment>
    <comment ref="E56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已打</t>
        </r>
      </text>
    </comment>
    <comment ref="E58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已打</t>
        </r>
      </text>
    </comment>
    <comment ref="E59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已打</t>
        </r>
      </text>
    </comment>
    <comment ref="E60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已打</t>
        </r>
      </text>
    </comment>
    <comment ref="E67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已打</t>
        </r>
      </text>
    </comment>
    <comment ref="E68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已打</t>
        </r>
      </text>
    </comment>
    <comment ref="E69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已打</t>
        </r>
      </text>
    </comment>
    <comment ref="E70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已打</t>
        </r>
      </text>
    </comment>
    <comment ref="E71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已打</t>
        </r>
      </text>
    </comment>
    <comment ref="E72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已打</t>
        </r>
      </text>
    </comment>
    <comment ref="E7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已打</t>
        </r>
      </text>
    </comment>
    <comment ref="E74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已打</t>
        </r>
      </text>
    </comment>
    <comment ref="E76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已打</t>
        </r>
      </text>
    </comment>
    <comment ref="E77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已打</t>
        </r>
      </text>
    </comment>
    <comment ref="E78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已打
</t>
        </r>
      </text>
    </comment>
    <comment ref="E79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已打</t>
        </r>
      </text>
    </comment>
    <comment ref="E80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已打</t>
        </r>
      </text>
    </comment>
    <comment ref="E81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已打</t>
        </r>
      </text>
    </comment>
    <comment ref="E82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已打</t>
        </r>
      </text>
    </comment>
    <comment ref="E8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已打</t>
        </r>
      </text>
    </comment>
  </commentList>
</comments>
</file>

<file path=xl/sharedStrings.xml><?xml version="1.0" encoding="utf-8"?>
<sst xmlns="http://schemas.openxmlformats.org/spreadsheetml/2006/main" count="1590" uniqueCount="401">
  <si>
    <t>序号</t>
  </si>
  <si>
    <t>项目编号</t>
  </si>
  <si>
    <t>项目阶段</t>
    <phoneticPr fontId="1" type="noConversion"/>
  </si>
  <si>
    <t>预算费用</t>
  </si>
  <si>
    <t>实际费用</t>
  </si>
  <si>
    <t>完成进度</t>
  </si>
  <si>
    <t>项目
负责人</t>
    <phoneticPr fontId="1" type="noConversion"/>
  </si>
  <si>
    <t>备注</t>
  </si>
  <si>
    <t>完成</t>
  </si>
  <si>
    <t>HDGC2022001</t>
    <phoneticPr fontId="1" type="noConversion"/>
  </si>
  <si>
    <t>HDGC2022002</t>
  </si>
  <si>
    <t>摆体自动打机米螺丝设备</t>
    <phoneticPr fontId="1" type="noConversion"/>
  </si>
  <si>
    <t>HDGC2022003</t>
  </si>
  <si>
    <t>HDGC2022004</t>
  </si>
  <si>
    <t>HDGC2022005</t>
  </si>
  <si>
    <t>粗调微调寿命测试设备</t>
  </si>
  <si>
    <t>HDGC2022006</t>
  </si>
  <si>
    <t>HDGC2022007</t>
  </si>
  <si>
    <t>HDGC2022008</t>
  </si>
  <si>
    <t>HDGC2022009</t>
  </si>
  <si>
    <t>模组自动压LD设备</t>
    <phoneticPr fontId="1" type="noConversion"/>
  </si>
  <si>
    <t>HDGC2022010</t>
  </si>
  <si>
    <t>HDGC2022011</t>
  </si>
  <si>
    <t>HDGC2022012</t>
  </si>
  <si>
    <t>HDGC2022013</t>
  </si>
  <si>
    <t>HDGC2022014</t>
  </si>
  <si>
    <t>HDGC2022015</t>
  </si>
  <si>
    <t>HDGC2022016</t>
  </si>
  <si>
    <t>朱成绪</t>
    <phoneticPr fontId="1" type="noConversion"/>
  </si>
  <si>
    <t>董鑫</t>
    <phoneticPr fontId="1" type="noConversion"/>
  </si>
  <si>
    <t>√</t>
  </si>
  <si>
    <t>YHPYJ-20220627001</t>
    <phoneticPr fontId="1" type="noConversion"/>
  </si>
  <si>
    <t>YHPYJ-20220819001</t>
    <phoneticPr fontId="1" type="noConversion"/>
  </si>
  <si>
    <t>YHPYJ-20220606003</t>
    <phoneticPr fontId="1" type="noConversion"/>
  </si>
  <si>
    <t>YHPYJ-20220422002</t>
    <phoneticPr fontId="1" type="noConversion"/>
  </si>
  <si>
    <t>HD-2304-088</t>
    <phoneticPr fontId="1" type="noConversion"/>
  </si>
  <si>
    <t>HD-5601-028</t>
    <phoneticPr fontId="1" type="noConversion"/>
  </si>
  <si>
    <t>HD-3215-263</t>
    <phoneticPr fontId="1" type="noConversion"/>
  </si>
  <si>
    <t>OA采购
申请单号</t>
    <phoneticPr fontId="1" type="noConversion"/>
  </si>
  <si>
    <t>OA领用
申请单号</t>
    <phoneticPr fontId="1" type="noConversion"/>
  </si>
  <si>
    <t>√</t>
    <phoneticPr fontId="1" type="noConversion"/>
  </si>
  <si>
    <t>新增</t>
  </si>
  <si>
    <t>资产编号</t>
    <phoneticPr fontId="1" type="noConversion"/>
  </si>
  <si>
    <t>03
项目
进度表</t>
    <phoneticPr fontId="1" type="noConversion"/>
  </si>
  <si>
    <t>02
可行性
分析</t>
    <phoneticPr fontId="1" type="noConversion"/>
  </si>
  <si>
    <t>01
设备
申请表</t>
    <phoneticPr fontId="1" type="noConversion"/>
  </si>
  <si>
    <t>05
技术协议</t>
    <phoneticPr fontId="1" type="noConversion"/>
  </si>
  <si>
    <t>06
验收标准</t>
    <phoneticPr fontId="1" type="noConversion"/>
  </si>
  <si>
    <t>07
设备项目
问题改善</t>
    <phoneticPr fontId="1" type="noConversion"/>
  </si>
  <si>
    <t>09
开箱点收
记录单</t>
    <phoneticPr fontId="1" type="noConversion"/>
  </si>
  <si>
    <t>10
培训记录</t>
    <phoneticPr fontId="1" type="noConversion"/>
  </si>
  <si>
    <t>11
说明书</t>
    <phoneticPr fontId="1" type="noConversion"/>
  </si>
  <si>
    <t>12
维保文件</t>
    <phoneticPr fontId="1" type="noConversion"/>
  </si>
  <si>
    <t>13
WI</t>
    <phoneticPr fontId="1" type="noConversion"/>
  </si>
  <si>
    <t>14
设备
验收单</t>
    <phoneticPr fontId="1" type="noConversion"/>
  </si>
  <si>
    <t>设备采购</t>
  </si>
  <si>
    <t>改善</t>
  </si>
  <si>
    <t>/</t>
  </si>
  <si>
    <t>MK L型支架自动点胶机</t>
    <phoneticPr fontId="1" type="noConversion"/>
  </si>
  <si>
    <t>MK L型支架自动打螺丝机</t>
    <phoneticPr fontId="1" type="noConversion"/>
  </si>
  <si>
    <t>微变量校准设备</t>
    <phoneticPr fontId="1" type="noConversion"/>
  </si>
  <si>
    <t>HD-3101-4343</t>
    <phoneticPr fontId="1" type="noConversion"/>
  </si>
  <si>
    <t>摆体UV固化设备</t>
    <phoneticPr fontId="1" type="noConversion"/>
  </si>
  <si>
    <t>已完成</t>
  </si>
  <si>
    <t>YHPYJ-20221020001</t>
    <phoneticPr fontId="1" type="noConversion"/>
  </si>
  <si>
    <t>YHPYJ-20220905001</t>
    <phoneticPr fontId="1" type="noConversion"/>
  </si>
  <si>
    <t>地板仪DWRF01窗玻璃自动点胶设备</t>
    <phoneticPr fontId="1" type="noConversion"/>
  </si>
  <si>
    <t>项目需求</t>
  </si>
  <si>
    <t>复制</t>
  </si>
  <si>
    <t>YHPYJ-20221026001</t>
    <phoneticPr fontId="1" type="noConversion"/>
  </si>
  <si>
    <t>密封胶点胶设备</t>
    <phoneticPr fontId="1" type="noConversion"/>
  </si>
  <si>
    <t>HD-3215-261</t>
    <phoneticPr fontId="1" type="noConversion"/>
  </si>
  <si>
    <t>HD-3204-592</t>
    <phoneticPr fontId="1" type="noConversion"/>
  </si>
  <si>
    <t>YHPYJ-20221031002</t>
    <phoneticPr fontId="1" type="noConversion"/>
  </si>
  <si>
    <t>HD-3215-266</t>
    <phoneticPr fontId="1" type="noConversion"/>
  </si>
  <si>
    <t>HD-3215-267</t>
    <phoneticPr fontId="1" type="noConversion"/>
  </si>
  <si>
    <t>YHPYJ-20221101001</t>
    <phoneticPr fontId="1" type="noConversion"/>
  </si>
  <si>
    <t>YHPYJ-20221101001</t>
    <phoneticPr fontId="1" type="noConversion"/>
  </si>
  <si>
    <t>窗罩锁螺丝点胶设备</t>
    <phoneticPr fontId="1" type="noConversion"/>
  </si>
  <si>
    <t>HDGC2022017</t>
  </si>
  <si>
    <t>HDGC2022018</t>
  </si>
  <si>
    <t>HDGC2022019</t>
  </si>
  <si>
    <t>HDGC2022020</t>
    <phoneticPr fontId="1" type="noConversion"/>
  </si>
  <si>
    <t>HDGC2022021</t>
  </si>
  <si>
    <t>HDGC2022022</t>
  </si>
  <si>
    <t>HDGC2022023</t>
  </si>
  <si>
    <t>暂停</t>
  </si>
  <si>
    <t>Hilti整机报警电压自动切换设备</t>
    <phoneticPr fontId="1" type="noConversion"/>
  </si>
  <si>
    <t>Hilti整机光功率测试设备</t>
    <phoneticPr fontId="1" type="noConversion"/>
  </si>
  <si>
    <t>ZCQG-20221008002</t>
    <phoneticPr fontId="1" type="noConversion"/>
  </si>
  <si>
    <t xml:space="preserve">	ZCQG-20221026002</t>
    <phoneticPr fontId="1" type="noConversion"/>
  </si>
  <si>
    <t>ZCQG-20220804002</t>
    <phoneticPr fontId="1" type="noConversion"/>
  </si>
  <si>
    <t xml:space="preserve">	ZCQG-20220701002</t>
    <phoneticPr fontId="1" type="noConversion"/>
  </si>
  <si>
    <t xml:space="preserve">	ZCQG-20220613002</t>
    <phoneticPr fontId="1" type="noConversion"/>
  </si>
  <si>
    <t xml:space="preserve">	ZCQG-20220125001</t>
    <phoneticPr fontId="1" type="noConversion"/>
  </si>
  <si>
    <t xml:space="preserve">	ZCQG-20211202005</t>
    <phoneticPr fontId="1" type="noConversion"/>
  </si>
  <si>
    <t xml:space="preserve">	ZCQG-20211202004</t>
    <phoneticPr fontId="1" type="noConversion"/>
  </si>
  <si>
    <t>ZCQG-20211012003</t>
    <phoneticPr fontId="1" type="noConversion"/>
  </si>
  <si>
    <t>ZCQG-20220407001</t>
    <phoneticPr fontId="1" type="noConversion"/>
  </si>
  <si>
    <t>A1030外壳自动打螺机设备（通用三轴螺丝机平台）</t>
    <phoneticPr fontId="1" type="noConversion"/>
  </si>
  <si>
    <t>A1030自动点胶机设备（通用三轴点胶平台）</t>
    <phoneticPr fontId="1" type="noConversion"/>
  </si>
  <si>
    <t>地板仪DWRF01外壳自动打螺丝设备</t>
    <phoneticPr fontId="1" type="noConversion"/>
  </si>
  <si>
    <t>海葵摆体UV固化设备</t>
    <phoneticPr fontId="1" type="noConversion"/>
  </si>
  <si>
    <t>进行中</t>
  </si>
  <si>
    <t>HD-3106-044</t>
    <phoneticPr fontId="1" type="noConversion"/>
  </si>
  <si>
    <t>YHPYJ-20230109001</t>
    <phoneticPr fontId="1" type="noConversion"/>
  </si>
  <si>
    <t>设备接收</t>
  </si>
  <si>
    <t>高低温在线设备</t>
    <phoneticPr fontId="1" type="noConversion"/>
  </si>
  <si>
    <t>HDGC2022024</t>
    <phoneticPr fontId="1" type="noConversion"/>
  </si>
  <si>
    <t>YHPYJ-20230111001</t>
    <phoneticPr fontId="1" type="noConversion"/>
  </si>
  <si>
    <t>HD-3101-4371</t>
    <phoneticPr fontId="1" type="noConversion"/>
  </si>
  <si>
    <t xml:space="preserve">ZCQG-20221114001 </t>
    <phoneticPr fontId="1" type="noConversion"/>
  </si>
  <si>
    <t xml:space="preserve">ZCQG-20221111001 </t>
    <phoneticPr fontId="1" type="noConversion"/>
  </si>
  <si>
    <t>ZCQG-20221014001</t>
    <phoneticPr fontId="1" type="noConversion"/>
  </si>
  <si>
    <t xml:space="preserve">GZYS20211206001 </t>
    <phoneticPr fontId="1" type="noConversion"/>
  </si>
  <si>
    <t>GZYS20211102001</t>
    <phoneticPr fontId="1" type="noConversion"/>
  </si>
  <si>
    <t>ZCQG-20221013001</t>
    <phoneticPr fontId="1" type="noConversion"/>
  </si>
  <si>
    <t>年份</t>
    <phoneticPr fontId="1" type="noConversion"/>
  </si>
  <si>
    <t>HDGC2022025</t>
  </si>
  <si>
    <t>HD-5106-103</t>
    <phoneticPr fontId="1" type="noConversion"/>
  </si>
  <si>
    <t xml:space="preserve">ZCQG-20221024001 </t>
    <phoneticPr fontId="1" type="noConversion"/>
  </si>
  <si>
    <t>2022—2023</t>
  </si>
  <si>
    <t>2022—2023</t>
    <phoneticPr fontId="1" type="noConversion"/>
  </si>
  <si>
    <t>朱成绪</t>
    <phoneticPr fontId="1" type="noConversion"/>
  </si>
  <si>
    <t>工程设备项目汇总</t>
    <phoneticPr fontId="1" type="noConversion"/>
  </si>
  <si>
    <t>方案评审</t>
  </si>
  <si>
    <t>董鑫</t>
    <phoneticPr fontId="1" type="noConversion"/>
  </si>
  <si>
    <t>未启动</t>
  </si>
  <si>
    <t>五点模组自动校准设备</t>
    <phoneticPr fontId="1" type="noConversion"/>
  </si>
  <si>
    <t>移动式光管系统</t>
    <phoneticPr fontId="1" type="noConversion"/>
  </si>
  <si>
    <t>线质量检测系统</t>
    <phoneticPr fontId="1" type="noConversion"/>
  </si>
  <si>
    <t>余阳</t>
    <phoneticPr fontId="1" type="noConversion"/>
  </si>
  <si>
    <t>HDGC2023001</t>
    <phoneticPr fontId="1" type="noConversion"/>
  </si>
  <si>
    <t>HDGC2023003</t>
  </si>
  <si>
    <t>HDGC2023004</t>
  </si>
  <si>
    <t>HDGC2023005</t>
  </si>
  <si>
    <t>HDGC2023007</t>
  </si>
  <si>
    <t>HDGC2023008</t>
  </si>
  <si>
    <t>HDGC2023009</t>
  </si>
  <si>
    <t>朱成绪</t>
    <phoneticPr fontId="1" type="noConversion"/>
  </si>
  <si>
    <t>董鑫</t>
    <phoneticPr fontId="1" type="noConversion"/>
  </si>
  <si>
    <t>包装ccd防错检测设备</t>
    <phoneticPr fontId="1" type="noConversion"/>
  </si>
  <si>
    <t>HD-2403-054</t>
    <phoneticPr fontId="1" type="noConversion"/>
  </si>
  <si>
    <t>包装ccd防错检测设备</t>
    <phoneticPr fontId="1" type="noConversion"/>
  </si>
  <si>
    <t>HD-3106-043</t>
    <phoneticPr fontId="1" type="noConversion"/>
  </si>
  <si>
    <t>HD-2304-313</t>
    <phoneticPr fontId="1" type="noConversion"/>
  </si>
  <si>
    <t>YHPYJ-20230515002</t>
    <phoneticPr fontId="1" type="noConversion"/>
  </si>
  <si>
    <t>YHPYJ-20230407006</t>
    <phoneticPr fontId="1" type="noConversion"/>
  </si>
  <si>
    <t>HD-3215-283</t>
    <phoneticPr fontId="1" type="noConversion"/>
  </si>
  <si>
    <t>防尘套清洗设备（超声波清洗设备）</t>
    <phoneticPr fontId="1" type="noConversion"/>
  </si>
  <si>
    <t>YHPYJ-20230630001</t>
    <phoneticPr fontId="1" type="noConversion"/>
  </si>
  <si>
    <t>YHPYJ-20220829001</t>
    <phoneticPr fontId="1" type="noConversion"/>
  </si>
  <si>
    <t>HD-3215-269</t>
    <phoneticPr fontId="1" type="noConversion"/>
  </si>
  <si>
    <t>HD-3215-281
HD-3215-279</t>
    <phoneticPr fontId="1" type="noConversion"/>
  </si>
  <si>
    <t>通用三轴螺丝机平台</t>
    <phoneticPr fontId="1" type="noConversion"/>
  </si>
  <si>
    <t>YHPYJ-20230515001
YHPYJ-20230712004</t>
    <phoneticPr fontId="1" type="noConversion"/>
  </si>
  <si>
    <t>08
设备
验证记录</t>
    <phoneticPr fontId="1" type="noConversion"/>
  </si>
  <si>
    <t>15项目
结案报告</t>
    <phoneticPr fontId="1" type="noConversion"/>
  </si>
  <si>
    <t>16
设备视频</t>
    <phoneticPr fontId="1" type="noConversion"/>
  </si>
  <si>
    <t>ZCSBYS-20230411001</t>
    <phoneticPr fontId="1" type="noConversion"/>
  </si>
  <si>
    <t>采购月份</t>
    <phoneticPr fontId="1" type="noConversion"/>
  </si>
  <si>
    <t>坡度检测设备</t>
    <phoneticPr fontId="1" type="noConversion"/>
  </si>
  <si>
    <t>微变量校准设备</t>
    <phoneticPr fontId="1" type="noConversion"/>
  </si>
  <si>
    <t>HDGC2023011</t>
    <phoneticPr fontId="1" type="noConversion"/>
  </si>
  <si>
    <t>设备方案/BOM清单</t>
    <phoneticPr fontId="1" type="noConversion"/>
  </si>
  <si>
    <t>ZCQG-20230904003</t>
    <phoneticPr fontId="1" type="noConversion"/>
  </si>
  <si>
    <t>ZCQG-20230519001</t>
    <phoneticPr fontId="1" type="noConversion"/>
  </si>
  <si>
    <t>缺视频</t>
    <phoneticPr fontId="1" type="noConversion"/>
  </si>
  <si>
    <t>设备验收</t>
  </si>
  <si>
    <t>HD-2304-312</t>
    <phoneticPr fontId="1" type="noConversion"/>
  </si>
  <si>
    <t>AA验证设备</t>
    <phoneticPr fontId="1" type="noConversion"/>
  </si>
  <si>
    <t>HDGC2023012</t>
  </si>
  <si>
    <t>项目名称</t>
    <phoneticPr fontId="1" type="noConversion"/>
  </si>
  <si>
    <t>项目需求</t>
    <phoneticPr fontId="1" type="noConversion"/>
  </si>
  <si>
    <t>立项评审</t>
    <phoneticPr fontId="1" type="noConversion"/>
  </si>
  <si>
    <t>方案评审</t>
    <phoneticPr fontId="1" type="noConversion"/>
  </si>
  <si>
    <t>设备采购</t>
    <phoneticPr fontId="1" type="noConversion"/>
  </si>
  <si>
    <t>预验收</t>
    <phoneticPr fontId="1" type="noConversion"/>
  </si>
  <si>
    <t>设备接收</t>
    <phoneticPr fontId="1" type="noConversion"/>
  </si>
  <si>
    <t>设备验收</t>
    <phoneticPr fontId="1" type="noConversion"/>
  </si>
  <si>
    <t>完成</t>
    <phoneticPr fontId="1" type="noConversion"/>
  </si>
  <si>
    <t>序号</t>
    <phoneticPr fontId="1" type="noConversion"/>
  </si>
  <si>
    <t>完成时间</t>
    <phoneticPr fontId="1" type="noConversion"/>
  </si>
  <si>
    <t>计划</t>
    <phoneticPr fontId="1" type="noConversion"/>
  </si>
  <si>
    <t>实际</t>
    <phoneticPr fontId="1" type="noConversion"/>
  </si>
  <si>
    <t>A</t>
    <phoneticPr fontId="1" type="noConversion"/>
  </si>
  <si>
    <t>B</t>
    <phoneticPr fontId="1" type="noConversion"/>
  </si>
  <si>
    <t>进度条</t>
    <phoneticPr fontId="1" type="noConversion"/>
  </si>
  <si>
    <t>C</t>
    <phoneticPr fontId="1" type="noConversion"/>
  </si>
  <si>
    <t xml:space="preserve">ZCQG-20230613001 </t>
    <phoneticPr fontId="1" type="noConversion"/>
  </si>
  <si>
    <t>2023-2024</t>
    <phoneticPr fontId="1" type="noConversion"/>
  </si>
  <si>
    <t>2.03.6</t>
    <phoneticPr fontId="1" type="noConversion"/>
  </si>
  <si>
    <t>HD-3106-215</t>
    <phoneticPr fontId="1" type="noConversion"/>
  </si>
  <si>
    <t>LD筛选设备</t>
    <phoneticPr fontId="1" type="noConversion"/>
  </si>
  <si>
    <t>朱成绪</t>
    <phoneticPr fontId="1" type="noConversion"/>
  </si>
  <si>
    <t>HDGC2024001</t>
    <phoneticPr fontId="1" type="noConversion"/>
  </si>
  <si>
    <t>HDGC2024002</t>
  </si>
  <si>
    <t>HDGC2024004</t>
  </si>
  <si>
    <t>HDGC2024005</t>
  </si>
  <si>
    <t>HDGC2024007</t>
  </si>
  <si>
    <t>HDGC2024008</t>
  </si>
  <si>
    <t>HDGC2024010</t>
  </si>
  <si>
    <t>每个阶段结束必须以邮件方式把文件表单发给李香</t>
    <phoneticPr fontId="1" type="noConversion"/>
  </si>
  <si>
    <t>余阳</t>
    <phoneticPr fontId="1" type="noConversion"/>
  </si>
  <si>
    <t>POREQ192661</t>
    <phoneticPr fontId="1" type="noConversion"/>
  </si>
  <si>
    <t>设备类型</t>
    <phoneticPr fontId="1" type="noConversion"/>
  </si>
  <si>
    <t>类型</t>
    <phoneticPr fontId="1" type="noConversion"/>
  </si>
  <si>
    <t>非标外购</t>
  </si>
  <si>
    <t>/</t>
    <phoneticPr fontId="1" type="noConversion"/>
  </si>
  <si>
    <t>董鑫</t>
    <phoneticPr fontId="1" type="noConversion"/>
  </si>
  <si>
    <t>朱成绪</t>
    <phoneticPr fontId="1" type="noConversion"/>
  </si>
  <si>
    <t>非标自制</t>
  </si>
  <si>
    <t>标准外购</t>
  </si>
  <si>
    <t>2023-2024</t>
    <phoneticPr fontId="1" type="noConversion"/>
  </si>
  <si>
    <t>YHPYJ-20240329001</t>
    <phoneticPr fontId="1" type="noConversion"/>
  </si>
  <si>
    <t>预验收/组装调试</t>
  </si>
  <si>
    <t>HDGC2023002</t>
    <phoneticPr fontId="1" type="noConversion"/>
  </si>
  <si>
    <t>HDGC2024009</t>
    <phoneticPr fontId="1" type="noConversion"/>
  </si>
  <si>
    <t>HDGC2024011</t>
    <phoneticPr fontId="1" type="noConversion"/>
  </si>
  <si>
    <t>HDGC2024012</t>
  </si>
  <si>
    <t>HDGC2024016</t>
  </si>
  <si>
    <t>HDGC2024017</t>
  </si>
  <si>
    <t>HDGC2024018</t>
  </si>
  <si>
    <t>HDGC2024013</t>
    <phoneticPr fontId="1" type="noConversion"/>
  </si>
  <si>
    <t>HDGC2024015</t>
    <phoneticPr fontId="1" type="noConversion"/>
  </si>
  <si>
    <t>POREQ193715</t>
    <phoneticPr fontId="1" type="noConversion"/>
  </si>
  <si>
    <t>POREQ194366</t>
    <phoneticPr fontId="1" type="noConversion"/>
  </si>
  <si>
    <t>POREQ195653</t>
    <phoneticPr fontId="1" type="noConversion"/>
  </si>
  <si>
    <t>ZCQG-20240111002</t>
    <phoneticPr fontId="1" type="noConversion"/>
  </si>
  <si>
    <t>POREQ201974</t>
    <phoneticPr fontId="1" type="noConversion"/>
  </si>
  <si>
    <t>POREQ196375</t>
    <phoneticPr fontId="1" type="noConversion"/>
  </si>
  <si>
    <t>激光快速成型机（3D打印机）</t>
    <phoneticPr fontId="1" type="noConversion"/>
  </si>
  <si>
    <t>04
方案对比</t>
    <phoneticPr fontId="1" type="noConversion"/>
  </si>
  <si>
    <t>YHPYJ-20240412003</t>
    <phoneticPr fontId="1" type="noConversion"/>
  </si>
  <si>
    <t>YHPYJ-20240412002</t>
    <phoneticPr fontId="1" type="noConversion"/>
  </si>
  <si>
    <t>*音量检测设备(E1106)</t>
    <phoneticPr fontId="1" type="noConversion"/>
  </si>
  <si>
    <t>*三轴点胶平移台（E1106接收器窗罩点胶设备）</t>
    <phoneticPr fontId="1" type="noConversion"/>
  </si>
  <si>
    <t>*高温在线功率检测设备</t>
    <phoneticPr fontId="1" type="noConversion"/>
  </si>
  <si>
    <t>洁净房</t>
    <phoneticPr fontId="1" type="noConversion"/>
  </si>
  <si>
    <t>*高低温在线试验设备</t>
    <phoneticPr fontId="1" type="noConversion"/>
  </si>
  <si>
    <t>*越障设备</t>
    <phoneticPr fontId="1" type="noConversion"/>
  </si>
  <si>
    <t>HD-3207-362</t>
    <phoneticPr fontId="1" type="noConversion"/>
  </si>
  <si>
    <t>*摆体自动打机米螺丝设备</t>
    <phoneticPr fontId="1" type="noConversion"/>
  </si>
  <si>
    <t>*光轴自动校准设备</t>
    <phoneticPr fontId="1" type="noConversion"/>
  </si>
  <si>
    <t>HDGC2024003</t>
    <phoneticPr fontId="1" type="noConversion"/>
  </si>
  <si>
    <t>项目名称</t>
    <phoneticPr fontId="1" type="noConversion"/>
  </si>
  <si>
    <t>HD-3404-208</t>
    <phoneticPr fontId="1" type="noConversion"/>
  </si>
  <si>
    <t>HD-3207-363</t>
    <phoneticPr fontId="1" type="noConversion"/>
  </si>
  <si>
    <t>/</t>
    <phoneticPr fontId="1" type="noConversion"/>
  </si>
  <si>
    <t>*点线模组自动打螺丝设备</t>
    <phoneticPr fontId="1" type="noConversion"/>
  </si>
  <si>
    <t>*玻璃管与锥镜自动上下料设备</t>
    <phoneticPr fontId="1" type="noConversion"/>
  </si>
  <si>
    <t>LEICA 3CONE窗罩组装自动打螺丝设备</t>
    <phoneticPr fontId="1" type="noConversion"/>
  </si>
  <si>
    <t>磁钢点胶</t>
    <phoneticPr fontId="1" type="noConversion"/>
  </si>
  <si>
    <t>整机光功率自动检测设备</t>
    <phoneticPr fontId="1" type="noConversion"/>
  </si>
  <si>
    <t>锁紧机构组装</t>
    <phoneticPr fontId="1" type="noConversion"/>
  </si>
  <si>
    <t>微变量校准设备线质量自动检测</t>
    <phoneticPr fontId="1" type="noConversion"/>
  </si>
  <si>
    <t>/</t>
    <phoneticPr fontId="1" type="noConversion"/>
  </si>
  <si>
    <t>*模组LD驱动板自动焊接设备</t>
    <phoneticPr fontId="1" type="noConversion"/>
  </si>
  <si>
    <t>*光管聚焦设备</t>
    <phoneticPr fontId="1" type="noConversion"/>
  </si>
  <si>
    <t>*摆体自动打机米螺丝设备（改善）</t>
    <phoneticPr fontId="1" type="noConversion"/>
  </si>
  <si>
    <t>HDGC2024019</t>
  </si>
  <si>
    <t>HDGC2024021</t>
  </si>
  <si>
    <t>HDGC2024022</t>
  </si>
  <si>
    <t>HDGC2024023</t>
  </si>
  <si>
    <t>HDGC2024024</t>
  </si>
  <si>
    <t>HDGC2024025</t>
  </si>
  <si>
    <t>HDGC2024026</t>
  </si>
  <si>
    <t>HDGC2024027</t>
  </si>
  <si>
    <t>*三轴点胶平移台（A4063L型支脚脚垫点胶设备）</t>
    <phoneticPr fontId="1" type="noConversion"/>
  </si>
  <si>
    <t>ZCQG-20240415001</t>
    <phoneticPr fontId="1" type="noConversion"/>
  </si>
  <si>
    <t>HD-3404-206</t>
    <phoneticPr fontId="1" type="noConversion"/>
  </si>
  <si>
    <t>YHPYJ-20240425001</t>
    <phoneticPr fontId="1" type="noConversion"/>
  </si>
  <si>
    <t>文件发放记录表</t>
    <phoneticPr fontId="1" type="noConversion"/>
  </si>
  <si>
    <t>HD-3106-217</t>
    <phoneticPr fontId="1" type="noConversion"/>
  </si>
  <si>
    <t>*A4063L型支架磁钢底板打磁钢工装</t>
    <phoneticPr fontId="1" type="noConversion"/>
  </si>
  <si>
    <t>HD-2304-092</t>
    <phoneticPr fontId="1" type="noConversion"/>
  </si>
  <si>
    <t>*E1106接收器打磁钢工装</t>
    <phoneticPr fontId="1" type="noConversion"/>
  </si>
  <si>
    <t>HDGC2024006</t>
    <phoneticPr fontId="1" type="noConversion"/>
  </si>
  <si>
    <t>YHPYJ-20240527001</t>
    <phoneticPr fontId="1" type="noConversion"/>
  </si>
  <si>
    <t>ZCQG-20240517003</t>
    <phoneticPr fontId="1" type="noConversion"/>
  </si>
  <si>
    <t>HD-2304-093</t>
    <phoneticPr fontId="1" type="noConversion"/>
  </si>
  <si>
    <t>YHPYJ-20240628002</t>
    <phoneticPr fontId="1" type="noConversion"/>
  </si>
  <si>
    <t>ZCQG-20240618002</t>
    <phoneticPr fontId="1" type="noConversion"/>
  </si>
  <si>
    <t>ZCQL-20231205001</t>
    <phoneticPr fontId="1" type="noConversion"/>
  </si>
  <si>
    <t>HDGC2024020</t>
    <phoneticPr fontId="1" type="noConversion"/>
  </si>
  <si>
    <t>ZCQG-20240318001</t>
    <phoneticPr fontId="1" type="noConversion"/>
  </si>
  <si>
    <t>HD-2403-055</t>
    <phoneticPr fontId="1" type="noConversion"/>
  </si>
  <si>
    <t>YHPYJ-20240718001</t>
    <phoneticPr fontId="1" type="noConversion"/>
  </si>
  <si>
    <t>董鑫</t>
    <phoneticPr fontId="1" type="noConversion"/>
  </si>
  <si>
    <t>POREQ215940</t>
    <phoneticPr fontId="1" type="noConversion"/>
  </si>
  <si>
    <t>ZCQG-20240716002</t>
    <phoneticPr fontId="1" type="noConversion"/>
  </si>
  <si>
    <t>ZCQG-20240716001</t>
    <phoneticPr fontId="1" type="noConversion"/>
  </si>
  <si>
    <t>模组光功率自动检测设备</t>
    <phoneticPr fontId="1" type="noConversion"/>
  </si>
  <si>
    <t>HD-3106-221</t>
    <phoneticPr fontId="1" type="noConversion"/>
  </si>
  <si>
    <t>HD-2304-094</t>
    <phoneticPr fontId="1" type="noConversion"/>
  </si>
  <si>
    <t>HD-2304-091</t>
    <phoneticPr fontId="1" type="noConversion"/>
  </si>
  <si>
    <t xml:space="preserve">HD-2304-089清理改造 
</t>
    <phoneticPr fontId="1" type="noConversion"/>
  </si>
  <si>
    <t>*摆体支架螺纹胶快速固化设备</t>
    <phoneticPr fontId="1" type="noConversion"/>
  </si>
  <si>
    <t>HDGC2024028</t>
    <phoneticPr fontId="1" type="noConversion"/>
  </si>
  <si>
    <t>ZCQG-20240819001</t>
    <phoneticPr fontId="1" type="noConversion"/>
  </si>
  <si>
    <t>/</t>
    <phoneticPr fontId="1" type="noConversion"/>
  </si>
  <si>
    <t>HDGC2024029</t>
    <phoneticPr fontId="1" type="noConversion"/>
  </si>
  <si>
    <t>HDGC2024030</t>
    <phoneticPr fontId="1" type="noConversion"/>
  </si>
  <si>
    <t>HDGC2024031</t>
    <phoneticPr fontId="1" type="noConversion"/>
  </si>
  <si>
    <t>HDGC2024032</t>
    <phoneticPr fontId="1" type="noConversion"/>
  </si>
  <si>
    <t>ZCQG-20240725002</t>
    <phoneticPr fontId="1" type="noConversion"/>
  </si>
  <si>
    <t>POREQ223525</t>
    <phoneticPr fontId="1" type="noConversion"/>
  </si>
  <si>
    <t>*整机光功率自动检测设备（复制）</t>
    <phoneticPr fontId="1" type="noConversion"/>
  </si>
  <si>
    <t>*高低温交变试验房</t>
    <phoneticPr fontId="1" type="noConversion"/>
  </si>
  <si>
    <t>POREQ223205</t>
    <phoneticPr fontId="1" type="noConversion"/>
  </si>
  <si>
    <t>HD-3215-271</t>
    <phoneticPr fontId="1" type="noConversion"/>
  </si>
  <si>
    <t>A4030机芯底座自动点胶工装</t>
    <phoneticPr fontId="1" type="noConversion"/>
  </si>
  <si>
    <t>A4053机芯底座自动点胶工装</t>
    <phoneticPr fontId="1" type="noConversion"/>
  </si>
  <si>
    <t>董鑫</t>
    <phoneticPr fontId="1" type="noConversion"/>
  </si>
  <si>
    <t>A4053驱动板及转接座自动点胶</t>
    <phoneticPr fontId="1" type="noConversion"/>
  </si>
  <si>
    <t>董鑫</t>
    <phoneticPr fontId="1" type="noConversion"/>
  </si>
  <si>
    <t>*Leica三控环装配流水固化设备</t>
    <phoneticPr fontId="1" type="noConversion"/>
  </si>
  <si>
    <t>*A4063齿轮箱输出扭力测试设备</t>
    <phoneticPr fontId="1" type="noConversion"/>
  </si>
  <si>
    <t>ZCQG-20240430002</t>
    <phoneticPr fontId="1" type="noConversion"/>
  </si>
  <si>
    <t>*A3028支架磁钢板安装工装</t>
    <phoneticPr fontId="1" type="noConversion"/>
  </si>
  <si>
    <t>*A4030L型支架点胶工装</t>
    <phoneticPr fontId="1" type="noConversion"/>
  </si>
  <si>
    <t>*A4030支架磁钢板安装工装</t>
    <phoneticPr fontId="1" type="noConversion"/>
  </si>
  <si>
    <t>*扫平仪坡度实测设备</t>
    <phoneticPr fontId="1" type="noConversion"/>
  </si>
  <si>
    <t>HDGC2024034</t>
  </si>
  <si>
    <t>HDGC2024035</t>
  </si>
  <si>
    <t>HDGC2024036</t>
  </si>
  <si>
    <t>HDGC2024037</t>
  </si>
  <si>
    <t>*铜丝触点自动焊接设备</t>
    <phoneticPr fontId="1" type="noConversion"/>
  </si>
  <si>
    <t>*整机扭力测试自动记录系统</t>
    <phoneticPr fontId="1" type="noConversion"/>
  </si>
  <si>
    <t>*微动开关自动焊接设备</t>
    <phoneticPr fontId="1" type="noConversion"/>
  </si>
  <si>
    <t>*A4053测试反向空回设备</t>
    <phoneticPr fontId="1" type="noConversion"/>
  </si>
  <si>
    <t>*Hilti内环UV固化设备</t>
    <phoneticPr fontId="1" type="noConversion"/>
  </si>
  <si>
    <t>HD-3215-318</t>
    <phoneticPr fontId="1" type="noConversion"/>
  </si>
  <si>
    <t>ZCQG-20241204001</t>
    <phoneticPr fontId="1" type="noConversion"/>
  </si>
  <si>
    <t>*非球自动装配设备</t>
    <phoneticPr fontId="1" type="noConversion"/>
  </si>
  <si>
    <t>ZCQG-20241128001</t>
    <phoneticPr fontId="1" type="noConversion"/>
  </si>
  <si>
    <t>*双工位微变量校准设备</t>
    <phoneticPr fontId="1" type="noConversion"/>
  </si>
  <si>
    <t>ZCQG-20241127002</t>
    <phoneticPr fontId="1" type="noConversion"/>
  </si>
  <si>
    <t>POREQ224813</t>
    <phoneticPr fontId="1" type="noConversion"/>
  </si>
  <si>
    <t>YHPYJ-20241230001</t>
    <phoneticPr fontId="1" type="noConversion"/>
  </si>
  <si>
    <t>101CGSQ00016089</t>
    <phoneticPr fontId="1" type="noConversion"/>
  </si>
  <si>
    <t>HD-2304-096</t>
    <phoneticPr fontId="1" type="noConversion"/>
  </si>
  <si>
    <t>YHPYJ-20250205001</t>
    <phoneticPr fontId="1" type="noConversion"/>
  </si>
  <si>
    <t>HDGC2024038</t>
  </si>
  <si>
    <t>HDGC2024040</t>
  </si>
  <si>
    <t>HDGC2024041</t>
  </si>
  <si>
    <t>HDGC2024042</t>
  </si>
  <si>
    <t>HDGC2024043</t>
  </si>
  <si>
    <t>HDGC2024044</t>
    <phoneticPr fontId="1" type="noConversion"/>
  </si>
  <si>
    <t>HD-2304-076</t>
    <phoneticPr fontId="1" type="noConversion"/>
  </si>
  <si>
    <t>YHPYJ-20250307001</t>
    <phoneticPr fontId="1" type="noConversion"/>
  </si>
  <si>
    <t>感应范围测试设备</t>
    <phoneticPr fontId="1" type="noConversion"/>
  </si>
  <si>
    <t>HDGC2023006</t>
    <phoneticPr fontId="1" type="noConversion"/>
  </si>
  <si>
    <t>HDGC2024033</t>
    <phoneticPr fontId="1" type="noConversion"/>
  </si>
  <si>
    <t>HDGC2024039</t>
    <phoneticPr fontId="1" type="noConversion"/>
  </si>
  <si>
    <t>101CGSQ00023509</t>
    <phoneticPr fontId="1" type="noConversion"/>
  </si>
  <si>
    <t>101CGSQ00023552</t>
    <phoneticPr fontId="1" type="noConversion"/>
  </si>
  <si>
    <t>101CGSQ00025696</t>
    <phoneticPr fontId="1" type="noConversion"/>
  </si>
  <si>
    <t>*A3039打磁钢工装</t>
    <phoneticPr fontId="1" type="noConversion"/>
  </si>
  <si>
    <t>A4065打磁钢工装</t>
    <phoneticPr fontId="1" type="noConversion"/>
  </si>
  <si>
    <t>A4065微调底座自动打螺丝工装</t>
    <phoneticPr fontId="1" type="noConversion"/>
  </si>
  <si>
    <t>线序检测工装</t>
    <phoneticPr fontId="1" type="noConversion"/>
  </si>
  <si>
    <t>101CGSQ00023508</t>
    <phoneticPr fontId="1" type="noConversion"/>
  </si>
  <si>
    <t>101CGSQ00024229</t>
    <phoneticPr fontId="1" type="noConversion"/>
  </si>
  <si>
    <t>PM50A整机测空回项目（软件）</t>
    <phoneticPr fontId="1" type="noConversion"/>
  </si>
  <si>
    <t>ZCQG-20250325003</t>
    <phoneticPr fontId="1" type="noConversion"/>
  </si>
  <si>
    <t>A4066微调底座打螺丝工装</t>
    <phoneticPr fontId="1" type="noConversion"/>
  </si>
  <si>
    <t>101CGSQ00008827</t>
    <phoneticPr fontId="1" type="noConversion"/>
  </si>
  <si>
    <t>A4065微动开关焊接设备</t>
    <phoneticPr fontId="1" type="noConversion"/>
  </si>
  <si>
    <t>101CGSQ00031068</t>
    <phoneticPr fontId="1" type="noConversion"/>
  </si>
  <si>
    <t>HDGC2024045</t>
    <phoneticPr fontId="1" type="noConversion"/>
  </si>
  <si>
    <t>HDGC2024046</t>
  </si>
  <si>
    <t>A4066齿轮箱涂油工装</t>
  </si>
  <si>
    <t>HDGC2024047</t>
  </si>
  <si>
    <t>A4066齿条涂油工装</t>
  </si>
  <si>
    <t>HDGC2024048</t>
  </si>
  <si>
    <t>A4066内齿圈压入工装</t>
  </si>
  <si>
    <t>HDGC2024049</t>
  </si>
  <si>
    <t>A4066轮系跑合工装</t>
  </si>
  <si>
    <t>HDGC2024050</t>
  </si>
  <si>
    <t>101CGSQ00029372</t>
  </si>
  <si>
    <t>101CGSQ00029373</t>
  </si>
  <si>
    <t>101CGSQ00029374</t>
  </si>
  <si>
    <t>101CGSQ00029376</t>
  </si>
  <si>
    <t>101CGSQ00029377</t>
  </si>
  <si>
    <t>A4066太阳轮压装工装</t>
    <phoneticPr fontId="1" type="noConversion"/>
  </si>
  <si>
    <t>A4065 L型支架点胶工装</t>
    <phoneticPr fontId="1" type="noConversion"/>
  </si>
  <si>
    <t>A4065 支架磁钢板安装工装</t>
    <phoneticPr fontId="1" type="noConversion"/>
  </si>
  <si>
    <t>ZCQG-20250519001</t>
    <phoneticPr fontId="1" type="noConversion"/>
  </si>
  <si>
    <t>摆体支架螺纹胶快速固化设备（复制）</t>
    <phoneticPr fontId="1" type="noConversion"/>
  </si>
  <si>
    <t>HD-2302-131</t>
    <phoneticPr fontId="1" type="noConversion"/>
  </si>
  <si>
    <t>YHPYJ-20250804003</t>
    <phoneticPr fontId="1" type="noConversion"/>
  </si>
  <si>
    <t>HD-3106-223</t>
    <phoneticPr fontId="1" type="noConversion"/>
  </si>
  <si>
    <t>HD-3106-222</t>
    <phoneticPr fontId="1" type="noConversion"/>
  </si>
  <si>
    <t>HD-3106-224</t>
    <phoneticPr fontId="1" type="noConversion"/>
  </si>
  <si>
    <t>HD-3106-002</t>
    <phoneticPr fontId="1" type="noConversion"/>
  </si>
  <si>
    <t>HD-3106-004</t>
    <phoneticPr fontId="1" type="noConversion"/>
  </si>
  <si>
    <t>HD-3106-005</t>
    <phoneticPr fontId="1" type="noConversion"/>
  </si>
  <si>
    <t>HD-3106-006</t>
    <phoneticPr fontId="1" type="noConversion"/>
  </si>
  <si>
    <t>HD-3106-007</t>
    <phoneticPr fontId="1" type="noConversion"/>
  </si>
  <si>
    <t>YHPYJ-20250728001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</si>
</sst>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 * #,##0.00_ ;_ * \-#,##0.00_ ;_ * &quot;-&quot;??_ ;_ @_ "/>
    <numFmt numFmtId="176" formatCode="_ * #,##0_ ;_ * \-#,##0_ ;_ * &quot;-&quot;??_ ;_ @_ "/>
  </numFmts>
  <fonts count="1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11"/>
      <color theme="1"/>
      <name val="宋体"/>
      <family val="2"/>
      <scheme val="minor"/>
    </font>
    <font>
      <b/>
      <sz val="26"/>
      <color theme="1"/>
      <name val="宋体"/>
      <family val="3"/>
      <charset val="134"/>
      <scheme val="minor"/>
    </font>
    <font>
      <b/>
      <sz val="20"/>
      <color rgb="FFFF0000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color rgb="FF9C0006"/>
      <name val="宋体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7CE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</borders>
  <cellStyleXfs count="3">
    <xf numFmtId="0" fontId="0" fillId="0" borderId="0"/>
    <xf numFmtId="43" fontId="7" fillId="0" borderId="0" applyFont="0" applyFill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</cellStyleXfs>
  <cellXfs count="14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shrinkToFit="1"/>
    </xf>
    <xf numFmtId="0" fontId="0" fillId="0" borderId="1" xfId="0" applyBorder="1" applyAlignment="1">
      <alignment vertical="center"/>
    </xf>
    <xf numFmtId="0" fontId="0" fillId="0" borderId="1" xfId="0" applyFont="1" applyBorder="1" applyAlignment="1">
      <alignment vertical="center"/>
    </xf>
    <xf numFmtId="0" fontId="0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/>
    <xf numFmtId="0" fontId="4" fillId="0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shrinkToFit="1"/>
    </xf>
    <xf numFmtId="0" fontId="0" fillId="0" borderId="1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wrapText="1"/>
    </xf>
    <xf numFmtId="0" fontId="0" fillId="0" borderId="0" xfId="0" applyBorder="1"/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wrapText="1"/>
    </xf>
    <xf numFmtId="0" fontId="0" fillId="0" borderId="3" xfId="0" applyBorder="1"/>
    <xf numFmtId="0" fontId="0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4" xfId="0" applyFont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 vertical="center" shrinkToFit="1"/>
    </xf>
    <xf numFmtId="0" fontId="0" fillId="0" borderId="8" xfId="0" applyFont="1" applyBorder="1" applyAlignment="1">
      <alignment vertical="center"/>
    </xf>
    <xf numFmtId="0" fontId="3" fillId="0" borderId="9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1" xfId="0" applyFont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 shrinkToFit="1"/>
    </xf>
    <xf numFmtId="0" fontId="2" fillId="0" borderId="12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176" fontId="0" fillId="0" borderId="0" xfId="1" applyNumberFormat="1" applyFont="1" applyAlignment="1">
      <alignment horizontal="center" vertical="center"/>
    </xf>
    <xf numFmtId="176" fontId="2" fillId="0" borderId="6" xfId="1" applyNumberFormat="1" applyFont="1" applyBorder="1" applyAlignment="1">
      <alignment vertical="center"/>
    </xf>
    <xf numFmtId="176" fontId="3" fillId="0" borderId="1" xfId="1" applyNumberFormat="1" applyFont="1" applyFill="1" applyBorder="1" applyAlignment="1">
      <alignment horizontal="center" vertical="center"/>
    </xf>
    <xf numFmtId="176" fontId="0" fillId="0" borderId="1" xfId="1" applyNumberFormat="1" applyFont="1" applyBorder="1" applyAlignment="1">
      <alignment horizontal="center" vertical="center"/>
    </xf>
    <xf numFmtId="176" fontId="0" fillId="0" borderId="4" xfId="1" applyNumberFormat="1" applyFont="1" applyBorder="1" applyAlignment="1">
      <alignment horizontal="center" vertical="center"/>
    </xf>
    <xf numFmtId="176" fontId="3" fillId="0" borderId="1" xfId="1" applyNumberFormat="1" applyFont="1" applyBorder="1" applyAlignment="1">
      <alignment horizontal="center" vertical="center"/>
    </xf>
    <xf numFmtId="176" fontId="3" fillId="0" borderId="4" xfId="1" applyNumberFormat="1" applyFont="1" applyBorder="1" applyAlignment="1">
      <alignment horizontal="center" vertical="center"/>
    </xf>
    <xf numFmtId="0" fontId="0" fillId="0" borderId="13" xfId="0" applyFont="1" applyFill="1" applyBorder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176" fontId="0" fillId="0" borderId="13" xfId="1" applyNumberFormat="1" applyFont="1" applyBorder="1" applyAlignment="1">
      <alignment horizontal="center" vertical="center"/>
    </xf>
    <xf numFmtId="176" fontId="3" fillId="0" borderId="13" xfId="1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0" fillId="0" borderId="13" xfId="0" applyFont="1" applyBorder="1" applyAlignment="1">
      <alignment vertical="center"/>
    </xf>
    <xf numFmtId="0" fontId="0" fillId="0" borderId="13" xfId="0" applyBorder="1" applyAlignment="1">
      <alignment horizontal="center" vertical="center"/>
    </xf>
    <xf numFmtId="0" fontId="0" fillId="0" borderId="13" xfId="0" applyBorder="1" applyAlignment="1">
      <alignment horizontal="center" vertical="center" shrinkToFit="1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 shrinkToFit="1"/>
    </xf>
    <xf numFmtId="0" fontId="0" fillId="0" borderId="1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 shrinkToFit="1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3" fillId="0" borderId="9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1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8" xfId="0" applyFill="1" applyBorder="1" applyAlignment="1">
      <alignment horizontal="center" vertical="center"/>
    </xf>
    <xf numFmtId="176" fontId="0" fillId="0" borderId="8" xfId="1" applyNumberFormat="1" applyFont="1" applyBorder="1" applyAlignment="1">
      <alignment horizontal="center" vertical="center"/>
    </xf>
    <xf numFmtId="176" fontId="3" fillId="0" borderId="8" xfId="1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 shrinkToFit="1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6" xfId="0" applyFont="1" applyFill="1" applyBorder="1" applyAlignment="1">
      <alignment horizontal="center" vertical="center" wrapText="1"/>
    </xf>
    <xf numFmtId="0" fontId="0" fillId="0" borderId="16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16" xfId="0" applyBorder="1"/>
    <xf numFmtId="0" fontId="0" fillId="0" borderId="16" xfId="0" applyBorder="1" applyAlignment="1">
      <alignment horizontal="center" vertical="center"/>
    </xf>
    <xf numFmtId="0" fontId="0" fillId="0" borderId="16" xfId="0" applyBorder="1" applyAlignment="1">
      <alignment horizontal="center" vertical="center" wrapText="1"/>
    </xf>
    <xf numFmtId="0" fontId="0" fillId="0" borderId="16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0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1" fillId="0" borderId="1" xfId="0" applyFont="1" applyBorder="1" applyAlignment="1">
      <alignment horizontal="left" vertical="center" wrapText="1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left" vertical="center"/>
    </xf>
    <xf numFmtId="0" fontId="10" fillId="0" borderId="1" xfId="0" applyFont="1" applyFill="1" applyBorder="1" applyAlignment="1">
      <alignment horizontal="center" vertical="center"/>
    </xf>
    <xf numFmtId="0" fontId="12" fillId="4" borderId="1" xfId="2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176" fontId="0" fillId="0" borderId="0" xfId="1" applyNumberFormat="1" applyFont="1" applyAlignment="1">
      <alignment vertical="center"/>
    </xf>
    <xf numFmtId="0" fontId="0" fillId="0" borderId="21" xfId="0" applyBorder="1" applyAlignment="1">
      <alignment horizontal="center" vertical="center"/>
    </xf>
    <xf numFmtId="0" fontId="0" fillId="0" borderId="19" xfId="0" applyBorder="1" applyAlignment="1">
      <alignment vertical="center"/>
    </xf>
    <xf numFmtId="0" fontId="0" fillId="0" borderId="22" xfId="0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9" fillId="0" borderId="6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0" fontId="0" fillId="0" borderId="8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 shrinkToFit="1"/>
    </xf>
    <xf numFmtId="0" fontId="0" fillId="0" borderId="11" xfId="0" applyBorder="1" applyAlignment="1">
      <alignment horizontal="center" vertical="center" shrinkToFit="1"/>
    </xf>
    <xf numFmtId="0" fontId="0" fillId="0" borderId="13" xfId="0" applyBorder="1" applyAlignment="1">
      <alignment horizontal="center" vertical="center" shrinkToFit="1"/>
    </xf>
  </cellXfs>
  <cellStyles count="3">
    <cellStyle name="差" xfId="2" builtinId="27"/>
    <cellStyle name="常规" xfId="0" builtinId="0"/>
    <cellStyle name="千位分隔" xfId="1" builtinId="3"/>
  </cellStyles>
  <dxfs count="275"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  <border>
        <vertical/>
        <horizontal/>
      </border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  <border>
        <vertical/>
        <horizontal/>
      </border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  <border>
        <vertical/>
        <horizontal/>
      </border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  <border>
        <vertical/>
        <horizontal/>
      </border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  <border>
        <vertical/>
        <horizontal/>
      </border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  <border>
        <vertical/>
        <horizontal/>
      </border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  <border>
        <vertical/>
        <horizontal/>
      </border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  <border>
        <vertical/>
        <horizontal/>
      </border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  <border>
        <vertical/>
        <horizontal/>
      </border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  <border>
        <vertical/>
        <horizontal/>
      </border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  <border>
        <vertical/>
        <horizontal/>
      </border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  <border>
        <vertical/>
        <horizontal/>
      </border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  <border>
        <vertical/>
        <horizontal/>
      </border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  <border>
        <vertical/>
        <horizontal/>
      </border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275164</xdr:colOff>
      <xdr:row>1</xdr:row>
      <xdr:rowOff>19048</xdr:rowOff>
    </xdr:from>
    <xdr:to>
      <xdr:col>3</xdr:col>
      <xdr:colOff>243417</xdr:colOff>
      <xdr:row>1</xdr:row>
      <xdr:rowOff>835192</xdr:rowOff>
    </xdr:to>
    <xdr:pic>
      <xdr:nvPicPr>
        <xdr:cNvPr id="2" name="Picture 8" descr="HDOEI LOGO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13831" y="198965"/>
          <a:ext cx="1756836" cy="8161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AK122"/>
  <sheetViews>
    <sheetView showGridLines="0" tabSelected="1" zoomScale="90" zoomScaleNormal="90" workbookViewId="0">
      <pane ySplit="4" topLeftCell="A71" activePane="bottomLeft" state="frozen"/>
      <selection pane="bottomLeft" activeCell="K74" sqref="K74"/>
    </sheetView>
  </sheetViews>
  <sheetFormatPr defaultRowHeight="20.100000000000001" customHeight="1" x14ac:dyDescent="0.15"/>
  <cols>
    <col min="1" max="1" width="4.5" style="8" customWidth="1"/>
    <col min="2" max="2" width="6.75" style="1" customWidth="1"/>
    <col min="3" max="3" width="13.25" style="126" customWidth="1"/>
    <col min="4" max="4" width="8.75" style="1" customWidth="1"/>
    <col min="5" max="5" width="39.125" style="77" customWidth="1"/>
    <col min="6" max="6" width="13.375" style="8" customWidth="1"/>
    <col min="7" max="7" width="9.125" style="1" customWidth="1"/>
    <col min="8" max="8" width="7.625" style="39" customWidth="1"/>
    <col min="9" max="9" width="9" style="126" customWidth="1"/>
    <col min="10" max="10" width="9" style="1" customWidth="1"/>
    <col min="11" max="11" width="11.75" style="49" customWidth="1"/>
    <col min="12" max="12" width="12.5" style="127" customWidth="1"/>
    <col min="13" max="13" width="8" style="1" customWidth="1"/>
    <col min="14" max="14" width="7.625" style="1" customWidth="1"/>
    <col min="15" max="15" width="18.375" style="8" bestFit="1" customWidth="1"/>
    <col min="16" max="16" width="8.625" style="8" customWidth="1"/>
    <col min="17" max="23" width="8.625" style="1" customWidth="1"/>
    <col min="24" max="24" width="10.75" style="1" customWidth="1"/>
    <col min="25" max="25" width="0.125" style="1" hidden="1" customWidth="1"/>
    <col min="26" max="29" width="8.625" style="1" customWidth="1"/>
    <col min="30" max="30" width="8.875" style="1" customWidth="1"/>
    <col min="31" max="31" width="8.625" style="2" customWidth="1"/>
    <col min="32" max="33" width="8.625" style="1" customWidth="1"/>
    <col min="34" max="34" width="13.875" style="1" customWidth="1"/>
    <col min="35" max="35" width="9.625" style="1" customWidth="1"/>
    <col min="36" max="37" width="15.625" style="8" customWidth="1"/>
    <col min="38" max="16384" width="9" style="8"/>
  </cols>
  <sheetData>
    <row r="1" spans="2:37" ht="20.100000000000001" customHeight="1" thickBot="1" x14ac:dyDescent="0.2"/>
    <row r="2" spans="2:37" s="2" customFormat="1" ht="39.75" customHeight="1" thickTop="1" x14ac:dyDescent="0.15">
      <c r="B2" s="44"/>
      <c r="C2" s="78"/>
      <c r="D2" s="45"/>
      <c r="E2" s="78"/>
      <c r="F2" s="45"/>
      <c r="G2" s="81" t="s">
        <v>124</v>
      </c>
      <c r="H2" s="45"/>
      <c r="I2" s="78"/>
      <c r="J2" s="45"/>
      <c r="K2" s="50"/>
      <c r="L2" s="50"/>
      <c r="M2" s="45"/>
      <c r="N2" s="45"/>
      <c r="O2" s="132" t="s">
        <v>202</v>
      </c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3"/>
      <c r="AD2" s="133"/>
      <c r="AE2" s="133"/>
      <c r="AF2" s="133"/>
      <c r="AG2" s="133"/>
      <c r="AH2" s="133"/>
      <c r="AI2" s="134"/>
      <c r="AJ2" s="135"/>
      <c r="AK2" s="15"/>
    </row>
    <row r="3" spans="2:37" s="10" customFormat="1" ht="37.5" customHeight="1" x14ac:dyDescent="0.15">
      <c r="B3" s="20" t="s">
        <v>0</v>
      </c>
      <c r="C3" s="79" t="s">
        <v>117</v>
      </c>
      <c r="D3" s="32" t="s">
        <v>160</v>
      </c>
      <c r="E3" s="12" t="s">
        <v>245</v>
      </c>
      <c r="F3" s="11" t="s">
        <v>1</v>
      </c>
      <c r="G3" s="11" t="s">
        <v>205</v>
      </c>
      <c r="H3" s="11" t="s">
        <v>206</v>
      </c>
      <c r="I3" s="12" t="s">
        <v>2</v>
      </c>
      <c r="J3" s="12" t="s">
        <v>182</v>
      </c>
      <c r="K3" s="51" t="s">
        <v>3</v>
      </c>
      <c r="L3" s="51" t="s">
        <v>4</v>
      </c>
      <c r="M3" s="42" t="s">
        <v>5</v>
      </c>
      <c r="N3" s="12" t="s">
        <v>6</v>
      </c>
      <c r="O3" s="12" t="s">
        <v>38</v>
      </c>
      <c r="P3" s="12" t="s">
        <v>45</v>
      </c>
      <c r="Q3" s="12" t="s">
        <v>44</v>
      </c>
      <c r="R3" s="12" t="s">
        <v>43</v>
      </c>
      <c r="S3" s="12" t="s">
        <v>232</v>
      </c>
      <c r="T3" s="12" t="s">
        <v>46</v>
      </c>
      <c r="U3" s="12" t="s">
        <v>47</v>
      </c>
      <c r="V3" s="12" t="s">
        <v>164</v>
      </c>
      <c r="W3" s="12" t="s">
        <v>48</v>
      </c>
      <c r="X3" s="12" t="s">
        <v>156</v>
      </c>
      <c r="Y3" s="12" t="s">
        <v>49</v>
      </c>
      <c r="Z3" s="12" t="s">
        <v>50</v>
      </c>
      <c r="AA3" s="12" t="s">
        <v>51</v>
      </c>
      <c r="AB3" s="12" t="s">
        <v>52</v>
      </c>
      <c r="AC3" s="12" t="s">
        <v>53</v>
      </c>
      <c r="AD3" s="12" t="s">
        <v>54</v>
      </c>
      <c r="AE3" s="43" t="s">
        <v>39</v>
      </c>
      <c r="AF3" s="12" t="s">
        <v>157</v>
      </c>
      <c r="AG3" s="12" t="s">
        <v>158</v>
      </c>
      <c r="AH3" s="12" t="s">
        <v>42</v>
      </c>
      <c r="AI3" s="102" t="s">
        <v>272</v>
      </c>
      <c r="AJ3" s="21" t="s">
        <v>7</v>
      </c>
      <c r="AK3" s="16"/>
    </row>
    <row r="4" spans="2:37" s="10" customFormat="1" ht="20.100000000000001" customHeight="1" x14ac:dyDescent="0.15">
      <c r="B4" s="20"/>
      <c r="C4" s="32"/>
      <c r="D4" s="32"/>
      <c r="E4" s="11"/>
      <c r="F4" s="11"/>
      <c r="G4" s="11" t="s">
        <v>211</v>
      </c>
      <c r="H4" s="11"/>
      <c r="I4" s="11"/>
      <c r="J4" s="11"/>
      <c r="K4" s="51"/>
      <c r="L4" s="51"/>
      <c r="M4" s="11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75"/>
      <c r="AF4" s="12"/>
      <c r="AG4" s="12"/>
      <c r="AH4" s="12"/>
      <c r="AI4" s="102"/>
      <c r="AJ4" s="21"/>
      <c r="AK4" s="16"/>
    </row>
    <row r="5" spans="2:37" ht="20.100000000000001" customHeight="1" x14ac:dyDescent="0.15">
      <c r="B5" s="22">
        <f>ROW()-4</f>
        <v>1</v>
      </c>
      <c r="C5" s="33">
        <v>2022</v>
      </c>
      <c r="D5" s="33"/>
      <c r="E5" s="3" t="s">
        <v>87</v>
      </c>
      <c r="F5" s="4" t="s">
        <v>9</v>
      </c>
      <c r="G5" s="46"/>
      <c r="H5" s="14" t="s">
        <v>41</v>
      </c>
      <c r="I5" s="5" t="s">
        <v>8</v>
      </c>
      <c r="J5" s="46"/>
      <c r="K5" s="52">
        <v>25000</v>
      </c>
      <c r="L5" s="54">
        <v>25000</v>
      </c>
      <c r="M5" s="46" t="s">
        <v>63</v>
      </c>
      <c r="N5" s="6" t="s">
        <v>28</v>
      </c>
      <c r="O5" s="4"/>
      <c r="P5" s="6" t="s">
        <v>57</v>
      </c>
      <c r="Q5" s="7" t="s">
        <v>30</v>
      </c>
      <c r="R5" s="7" t="s">
        <v>40</v>
      </c>
      <c r="S5" s="7" t="s">
        <v>57</v>
      </c>
      <c r="T5" s="7" t="s">
        <v>30</v>
      </c>
      <c r="U5" s="7" t="s">
        <v>30</v>
      </c>
      <c r="V5" s="7" t="s">
        <v>57</v>
      </c>
      <c r="W5" s="7" t="s">
        <v>30</v>
      </c>
      <c r="X5" s="7" t="s">
        <v>30</v>
      </c>
      <c r="Y5" s="7" t="s">
        <v>30</v>
      </c>
      <c r="Z5" s="7" t="s">
        <v>30</v>
      </c>
      <c r="AA5" s="7" t="s">
        <v>30</v>
      </c>
      <c r="AB5" s="7" t="s">
        <v>30</v>
      </c>
      <c r="AC5" s="7" t="s">
        <v>30</v>
      </c>
      <c r="AD5" s="7" t="s">
        <v>30</v>
      </c>
      <c r="AE5" s="13" t="s">
        <v>64</v>
      </c>
      <c r="AF5" s="7" t="s">
        <v>57</v>
      </c>
      <c r="AG5" s="7" t="s">
        <v>57</v>
      </c>
      <c r="AH5" s="3" t="s">
        <v>61</v>
      </c>
      <c r="AI5" s="106" t="s">
        <v>30</v>
      </c>
      <c r="AJ5" s="23"/>
      <c r="AK5" s="17"/>
    </row>
    <row r="6" spans="2:37" ht="20.100000000000001" customHeight="1" x14ac:dyDescent="0.15">
      <c r="B6" s="22">
        <f t="shared" ref="B6:B89" si="0">ROW()-4</f>
        <v>2</v>
      </c>
      <c r="C6" s="33">
        <v>2022</v>
      </c>
      <c r="D6" s="33"/>
      <c r="E6" s="3" t="s">
        <v>60</v>
      </c>
      <c r="F6" s="4" t="s">
        <v>10</v>
      </c>
      <c r="G6" s="46"/>
      <c r="H6" s="14" t="s">
        <v>41</v>
      </c>
      <c r="I6" s="5" t="s">
        <v>8</v>
      </c>
      <c r="J6" s="46"/>
      <c r="K6" s="52">
        <v>250000</v>
      </c>
      <c r="L6" s="54">
        <v>250000</v>
      </c>
      <c r="M6" s="46" t="s">
        <v>63</v>
      </c>
      <c r="N6" s="6" t="s">
        <v>29</v>
      </c>
      <c r="O6" s="41" t="s">
        <v>115</v>
      </c>
      <c r="P6" s="6" t="s">
        <v>57</v>
      </c>
      <c r="Q6" s="7" t="s">
        <v>30</v>
      </c>
      <c r="R6" s="7" t="s">
        <v>30</v>
      </c>
      <c r="S6" s="7" t="s">
        <v>57</v>
      </c>
      <c r="T6" s="7" t="s">
        <v>30</v>
      </c>
      <c r="U6" s="7" t="s">
        <v>30</v>
      </c>
      <c r="V6" s="7" t="s">
        <v>57</v>
      </c>
      <c r="W6" s="7" t="s">
        <v>30</v>
      </c>
      <c r="X6" s="7" t="s">
        <v>30</v>
      </c>
      <c r="Y6" s="7" t="s">
        <v>30</v>
      </c>
      <c r="Z6" s="7" t="s">
        <v>30</v>
      </c>
      <c r="AA6" s="7" t="s">
        <v>30</v>
      </c>
      <c r="AB6" s="7" t="s">
        <v>30</v>
      </c>
      <c r="AC6" s="7" t="s">
        <v>30</v>
      </c>
      <c r="AD6" s="7" t="s">
        <v>30</v>
      </c>
      <c r="AE6" s="13" t="s">
        <v>69</v>
      </c>
      <c r="AF6" s="7" t="s">
        <v>57</v>
      </c>
      <c r="AG6" s="7" t="s">
        <v>30</v>
      </c>
      <c r="AH6" s="66" t="s">
        <v>296</v>
      </c>
      <c r="AI6" s="106" t="s">
        <v>30</v>
      </c>
      <c r="AJ6" s="23"/>
      <c r="AK6" s="17"/>
    </row>
    <row r="7" spans="2:37" ht="20.100000000000001" customHeight="1" x14ac:dyDescent="0.15">
      <c r="B7" s="22">
        <f t="shared" si="0"/>
        <v>3</v>
      </c>
      <c r="C7" s="33">
        <v>2022</v>
      </c>
      <c r="D7" s="33"/>
      <c r="E7" s="3" t="s">
        <v>11</v>
      </c>
      <c r="F7" s="4" t="s">
        <v>12</v>
      </c>
      <c r="G7" s="46"/>
      <c r="H7" s="14" t="s">
        <v>41</v>
      </c>
      <c r="I7" s="5" t="s">
        <v>8</v>
      </c>
      <c r="J7" s="46"/>
      <c r="K7" s="52">
        <v>180000</v>
      </c>
      <c r="L7" s="54">
        <v>170000</v>
      </c>
      <c r="M7" s="46" t="s">
        <v>63</v>
      </c>
      <c r="N7" s="6" t="s">
        <v>29</v>
      </c>
      <c r="O7" s="4"/>
      <c r="P7" s="6" t="s">
        <v>57</v>
      </c>
      <c r="Q7" s="7" t="s">
        <v>30</v>
      </c>
      <c r="R7" s="7" t="s">
        <v>30</v>
      </c>
      <c r="S7" s="7" t="s">
        <v>57</v>
      </c>
      <c r="T7" s="7" t="s">
        <v>30</v>
      </c>
      <c r="U7" s="7" t="s">
        <v>30</v>
      </c>
      <c r="V7" s="7" t="s">
        <v>57</v>
      </c>
      <c r="W7" s="7" t="s">
        <v>30</v>
      </c>
      <c r="X7" s="7" t="s">
        <v>30</v>
      </c>
      <c r="Y7" s="7" t="s">
        <v>30</v>
      </c>
      <c r="Z7" s="7" t="s">
        <v>30</v>
      </c>
      <c r="AA7" s="7" t="s">
        <v>30</v>
      </c>
      <c r="AB7" s="7" t="s">
        <v>30</v>
      </c>
      <c r="AC7" s="7" t="s">
        <v>30</v>
      </c>
      <c r="AD7" s="7" t="s">
        <v>30</v>
      </c>
      <c r="AE7" s="13" t="s">
        <v>65</v>
      </c>
      <c r="AF7" s="7" t="s">
        <v>57</v>
      </c>
      <c r="AG7" s="7" t="s">
        <v>30</v>
      </c>
      <c r="AH7" s="3" t="s">
        <v>310</v>
      </c>
      <c r="AI7" s="106"/>
      <c r="AJ7" s="23"/>
      <c r="AK7" s="17"/>
    </row>
    <row r="8" spans="2:37" ht="20.100000000000001" customHeight="1" x14ac:dyDescent="0.15">
      <c r="B8" s="22">
        <f t="shared" si="0"/>
        <v>4</v>
      </c>
      <c r="C8" s="80" t="s">
        <v>122</v>
      </c>
      <c r="D8" s="124">
        <v>1</v>
      </c>
      <c r="E8" s="3" t="s">
        <v>258</v>
      </c>
      <c r="F8" s="4" t="s">
        <v>13</v>
      </c>
      <c r="G8" s="46" t="s">
        <v>207</v>
      </c>
      <c r="H8" s="14" t="s">
        <v>41</v>
      </c>
      <c r="I8" s="83" t="s">
        <v>106</v>
      </c>
      <c r="J8" s="46"/>
      <c r="K8" s="52">
        <v>220000</v>
      </c>
      <c r="L8" s="54">
        <v>203000</v>
      </c>
      <c r="M8" s="46" t="s">
        <v>103</v>
      </c>
      <c r="N8" s="6" t="s">
        <v>29</v>
      </c>
      <c r="O8" s="41" t="s">
        <v>114</v>
      </c>
      <c r="P8" s="6"/>
      <c r="Q8" s="125" t="s">
        <v>30</v>
      </c>
      <c r="R8" s="125" t="s">
        <v>30</v>
      </c>
      <c r="S8" s="125"/>
      <c r="T8" s="125" t="s">
        <v>30</v>
      </c>
      <c r="U8" s="125" t="s">
        <v>30</v>
      </c>
      <c r="V8" s="125" t="s">
        <v>57</v>
      </c>
      <c r="W8" s="125" t="s">
        <v>57</v>
      </c>
      <c r="X8" s="125" t="s">
        <v>57</v>
      </c>
      <c r="Y8" s="7" t="s">
        <v>57</v>
      </c>
      <c r="Z8" s="125"/>
      <c r="AA8" s="125"/>
      <c r="AB8" s="125"/>
      <c r="AC8" s="125"/>
      <c r="AD8" s="125"/>
      <c r="AE8" s="13" t="s">
        <v>281</v>
      </c>
      <c r="AF8" s="125"/>
      <c r="AG8" s="125"/>
      <c r="AH8" s="3" t="s">
        <v>280</v>
      </c>
      <c r="AI8" s="123"/>
      <c r="AJ8" s="23"/>
      <c r="AK8" s="17"/>
    </row>
    <row r="9" spans="2:37" ht="20.100000000000001" customHeight="1" x14ac:dyDescent="0.15">
      <c r="B9" s="22">
        <f t="shared" si="0"/>
        <v>5</v>
      </c>
      <c r="C9" s="33">
        <v>2022</v>
      </c>
      <c r="D9" s="33"/>
      <c r="E9" s="3" t="s">
        <v>78</v>
      </c>
      <c r="F9" s="4" t="s">
        <v>14</v>
      </c>
      <c r="G9" s="46"/>
      <c r="H9" s="14" t="s">
        <v>41</v>
      </c>
      <c r="I9" s="5" t="s">
        <v>8</v>
      </c>
      <c r="J9" s="46"/>
      <c r="K9" s="52">
        <v>103700</v>
      </c>
      <c r="L9" s="54">
        <v>103700</v>
      </c>
      <c r="M9" s="46" t="s">
        <v>63</v>
      </c>
      <c r="N9" s="6" t="s">
        <v>29</v>
      </c>
      <c r="O9" s="4"/>
      <c r="P9" s="6" t="s">
        <v>57</v>
      </c>
      <c r="Q9" s="7" t="s">
        <v>57</v>
      </c>
      <c r="R9" s="7" t="s">
        <v>30</v>
      </c>
      <c r="S9" s="7" t="s">
        <v>57</v>
      </c>
      <c r="T9" s="7" t="s">
        <v>30</v>
      </c>
      <c r="U9" s="7" t="s">
        <v>30</v>
      </c>
      <c r="V9" s="7" t="s">
        <v>57</v>
      </c>
      <c r="W9" s="7" t="s">
        <v>30</v>
      </c>
      <c r="X9" s="7" t="s">
        <v>30</v>
      </c>
      <c r="Y9" s="7" t="s">
        <v>30</v>
      </c>
      <c r="Z9" s="7" t="s">
        <v>30</v>
      </c>
      <c r="AA9" s="7" t="s">
        <v>30</v>
      </c>
      <c r="AB9" s="7" t="s">
        <v>30</v>
      </c>
      <c r="AC9" s="7" t="s">
        <v>30</v>
      </c>
      <c r="AD9" s="7" t="s">
        <v>30</v>
      </c>
      <c r="AE9" s="13" t="s">
        <v>31</v>
      </c>
      <c r="AF9" s="7" t="s">
        <v>57</v>
      </c>
      <c r="AG9" s="7" t="s">
        <v>57</v>
      </c>
      <c r="AH9" s="3" t="s">
        <v>35</v>
      </c>
      <c r="AI9" s="106"/>
      <c r="AJ9" s="23"/>
      <c r="AK9" s="17"/>
    </row>
    <row r="10" spans="2:37" ht="20.100000000000001" customHeight="1" x14ac:dyDescent="0.15">
      <c r="B10" s="22">
        <f t="shared" si="0"/>
        <v>6</v>
      </c>
      <c r="C10" s="33">
        <v>2022</v>
      </c>
      <c r="D10" s="33"/>
      <c r="E10" s="3" t="s">
        <v>15</v>
      </c>
      <c r="F10" s="4" t="s">
        <v>16</v>
      </c>
      <c r="G10" s="46"/>
      <c r="H10" s="14" t="s">
        <v>41</v>
      </c>
      <c r="I10" s="5" t="s">
        <v>8</v>
      </c>
      <c r="J10" s="46"/>
      <c r="K10" s="52">
        <v>20000</v>
      </c>
      <c r="L10" s="54">
        <v>17407.21</v>
      </c>
      <c r="M10" s="46" t="s">
        <v>63</v>
      </c>
      <c r="N10" s="6" t="s">
        <v>29</v>
      </c>
      <c r="O10" s="4"/>
      <c r="P10" s="6" t="s">
        <v>57</v>
      </c>
      <c r="Q10" s="7" t="s">
        <v>57</v>
      </c>
      <c r="R10" s="7" t="s">
        <v>30</v>
      </c>
      <c r="S10" s="7" t="s">
        <v>57</v>
      </c>
      <c r="T10" s="7" t="s">
        <v>30</v>
      </c>
      <c r="U10" s="7" t="s">
        <v>30</v>
      </c>
      <c r="V10" s="7" t="s">
        <v>30</v>
      </c>
      <c r="W10" s="7" t="s">
        <v>57</v>
      </c>
      <c r="X10" s="7" t="s">
        <v>57</v>
      </c>
      <c r="Y10" s="7" t="s">
        <v>57</v>
      </c>
      <c r="Z10" s="7" t="s">
        <v>30</v>
      </c>
      <c r="AA10" s="7" t="s">
        <v>30</v>
      </c>
      <c r="AB10" s="7" t="s">
        <v>30</v>
      </c>
      <c r="AC10" s="7" t="s">
        <v>30</v>
      </c>
      <c r="AD10" s="7" t="s">
        <v>30</v>
      </c>
      <c r="AE10" s="13" t="s">
        <v>109</v>
      </c>
      <c r="AF10" s="7" t="s">
        <v>57</v>
      </c>
      <c r="AG10" s="7" t="s">
        <v>30</v>
      </c>
      <c r="AH10" s="3" t="s">
        <v>110</v>
      </c>
      <c r="AI10" s="106" t="s">
        <v>30</v>
      </c>
      <c r="AJ10" s="23"/>
      <c r="AK10" s="17"/>
    </row>
    <row r="11" spans="2:37" ht="20.100000000000001" customHeight="1" x14ac:dyDescent="0.15">
      <c r="B11" s="22">
        <f t="shared" si="0"/>
        <v>7</v>
      </c>
      <c r="C11" s="33">
        <v>2022</v>
      </c>
      <c r="D11" s="33"/>
      <c r="E11" s="3" t="s">
        <v>62</v>
      </c>
      <c r="F11" s="4" t="s">
        <v>17</v>
      </c>
      <c r="G11" s="46"/>
      <c r="H11" s="14" t="s">
        <v>41</v>
      </c>
      <c r="I11" s="6" t="s">
        <v>8</v>
      </c>
      <c r="J11" s="6"/>
      <c r="K11" s="52">
        <v>75000</v>
      </c>
      <c r="L11" s="54">
        <v>74300</v>
      </c>
      <c r="M11" s="46" t="s">
        <v>63</v>
      </c>
      <c r="N11" s="6" t="s">
        <v>28</v>
      </c>
      <c r="O11" s="41" t="s">
        <v>97</v>
      </c>
      <c r="P11" s="6" t="s">
        <v>57</v>
      </c>
      <c r="Q11" s="7" t="s">
        <v>30</v>
      </c>
      <c r="R11" s="7" t="s">
        <v>30</v>
      </c>
      <c r="S11" s="7" t="s">
        <v>30</v>
      </c>
      <c r="T11" s="7" t="s">
        <v>30</v>
      </c>
      <c r="U11" s="7" t="s">
        <v>30</v>
      </c>
      <c r="V11" s="7" t="s">
        <v>57</v>
      </c>
      <c r="W11" s="7" t="s">
        <v>30</v>
      </c>
      <c r="X11" s="7" t="s">
        <v>30</v>
      </c>
      <c r="Y11" s="7" t="s">
        <v>30</v>
      </c>
      <c r="Z11" s="7" t="s">
        <v>30</v>
      </c>
      <c r="AA11" s="7" t="s">
        <v>30</v>
      </c>
      <c r="AB11" s="7" t="s">
        <v>30</v>
      </c>
      <c r="AC11" s="7" t="s">
        <v>30</v>
      </c>
      <c r="AD11" s="7" t="s">
        <v>30</v>
      </c>
      <c r="AE11" s="13" t="s">
        <v>32</v>
      </c>
      <c r="AF11" s="7" t="s">
        <v>57</v>
      </c>
      <c r="AG11" s="7" t="s">
        <v>57</v>
      </c>
      <c r="AH11" s="3" t="s">
        <v>36</v>
      </c>
      <c r="AI11" s="106" t="s">
        <v>30</v>
      </c>
      <c r="AJ11" s="23"/>
      <c r="AK11" s="17"/>
    </row>
    <row r="12" spans="2:37" ht="20.100000000000001" customHeight="1" x14ac:dyDescent="0.15">
      <c r="B12" s="22">
        <f t="shared" si="0"/>
        <v>8</v>
      </c>
      <c r="C12" s="33">
        <v>2022</v>
      </c>
      <c r="D12" s="33"/>
      <c r="E12" s="3" t="s">
        <v>143</v>
      </c>
      <c r="F12" s="4" t="s">
        <v>18</v>
      </c>
      <c r="G12" s="46"/>
      <c r="H12" s="14" t="s">
        <v>56</v>
      </c>
      <c r="I12" s="5" t="s">
        <v>8</v>
      </c>
      <c r="J12" s="46"/>
      <c r="K12" s="52">
        <v>15000</v>
      </c>
      <c r="L12" s="54">
        <v>15000</v>
      </c>
      <c r="M12" s="46" t="s">
        <v>63</v>
      </c>
      <c r="N12" s="6" t="s">
        <v>28</v>
      </c>
      <c r="O12" s="41" t="s">
        <v>98</v>
      </c>
      <c r="P12" s="6" t="s">
        <v>57</v>
      </c>
      <c r="Q12" s="7" t="s">
        <v>30</v>
      </c>
      <c r="R12" s="7" t="s">
        <v>57</v>
      </c>
      <c r="S12" s="7" t="s">
        <v>57</v>
      </c>
      <c r="T12" s="7" t="s">
        <v>57</v>
      </c>
      <c r="U12" s="7" t="s">
        <v>57</v>
      </c>
      <c r="V12" s="7" t="s">
        <v>57</v>
      </c>
      <c r="W12" s="7" t="s">
        <v>57</v>
      </c>
      <c r="X12" s="7" t="s">
        <v>57</v>
      </c>
      <c r="Y12" s="7" t="s">
        <v>57</v>
      </c>
      <c r="Z12" s="7" t="s">
        <v>57</v>
      </c>
      <c r="AA12" s="7" t="s">
        <v>30</v>
      </c>
      <c r="AB12" s="7" t="s">
        <v>30</v>
      </c>
      <c r="AC12" s="7" t="s">
        <v>30</v>
      </c>
      <c r="AD12" s="7" t="s">
        <v>30</v>
      </c>
      <c r="AE12" s="13" t="s">
        <v>33</v>
      </c>
      <c r="AF12" s="7" t="s">
        <v>57</v>
      </c>
      <c r="AG12" s="7" t="s">
        <v>57</v>
      </c>
      <c r="AH12" s="3" t="s">
        <v>144</v>
      </c>
      <c r="AI12" s="106" t="s">
        <v>30</v>
      </c>
      <c r="AJ12" s="23"/>
      <c r="AK12" s="17"/>
    </row>
    <row r="13" spans="2:37" ht="20.100000000000001" customHeight="1" x14ac:dyDescent="0.15">
      <c r="B13" s="22">
        <f t="shared" si="0"/>
        <v>9</v>
      </c>
      <c r="C13" s="33">
        <v>2022</v>
      </c>
      <c r="D13" s="33"/>
      <c r="E13" s="3" t="s">
        <v>70</v>
      </c>
      <c r="F13" s="4" t="s">
        <v>19</v>
      </c>
      <c r="G13" s="46"/>
      <c r="H13" s="14" t="s">
        <v>41</v>
      </c>
      <c r="I13" s="5" t="s">
        <v>8</v>
      </c>
      <c r="J13" s="46"/>
      <c r="K13" s="52">
        <v>26500</v>
      </c>
      <c r="L13" s="54">
        <v>26000</v>
      </c>
      <c r="M13" s="46" t="s">
        <v>63</v>
      </c>
      <c r="N13" s="6" t="s">
        <v>28</v>
      </c>
      <c r="O13" s="4" t="s">
        <v>94</v>
      </c>
      <c r="P13" s="6" t="s">
        <v>57</v>
      </c>
      <c r="Q13" s="7" t="s">
        <v>30</v>
      </c>
      <c r="R13" s="7" t="s">
        <v>57</v>
      </c>
      <c r="S13" s="7" t="s">
        <v>57</v>
      </c>
      <c r="T13" s="7" t="s">
        <v>57</v>
      </c>
      <c r="U13" s="7" t="s">
        <v>57</v>
      </c>
      <c r="V13" s="7" t="s">
        <v>57</v>
      </c>
      <c r="W13" s="7" t="s">
        <v>57</v>
      </c>
      <c r="X13" s="7" t="s">
        <v>57</v>
      </c>
      <c r="Y13" s="7" t="s">
        <v>57</v>
      </c>
      <c r="Z13" s="7" t="s">
        <v>57</v>
      </c>
      <c r="AA13" s="7" t="s">
        <v>30</v>
      </c>
      <c r="AB13" s="7" t="s">
        <v>30</v>
      </c>
      <c r="AC13" s="7" t="s">
        <v>30</v>
      </c>
      <c r="AD13" s="7" t="s">
        <v>30</v>
      </c>
      <c r="AE13" s="13" t="s">
        <v>34</v>
      </c>
      <c r="AF13" s="7" t="s">
        <v>57</v>
      </c>
      <c r="AG13" s="7" t="s">
        <v>57</v>
      </c>
      <c r="AH13" s="3" t="s">
        <v>37</v>
      </c>
      <c r="AI13" s="106"/>
      <c r="AJ13" s="23"/>
      <c r="AK13" s="17"/>
    </row>
    <row r="14" spans="2:37" ht="20.100000000000001" customHeight="1" x14ac:dyDescent="0.15">
      <c r="B14" s="22">
        <f t="shared" si="0"/>
        <v>10</v>
      </c>
      <c r="C14" s="48" t="s">
        <v>122</v>
      </c>
      <c r="D14" s="33">
        <v>1</v>
      </c>
      <c r="E14" s="3" t="s">
        <v>20</v>
      </c>
      <c r="F14" s="4" t="s">
        <v>21</v>
      </c>
      <c r="G14" s="46"/>
      <c r="H14" s="14" t="s">
        <v>41</v>
      </c>
      <c r="I14" s="5" t="s">
        <v>8</v>
      </c>
      <c r="J14" s="46"/>
      <c r="K14" s="52">
        <v>430000</v>
      </c>
      <c r="L14" s="54">
        <v>420000</v>
      </c>
      <c r="M14" s="46" t="s">
        <v>63</v>
      </c>
      <c r="N14" s="6" t="s">
        <v>28</v>
      </c>
      <c r="O14" s="4" t="s">
        <v>92</v>
      </c>
      <c r="P14" s="6" t="s">
        <v>57</v>
      </c>
      <c r="Q14" s="7" t="s">
        <v>30</v>
      </c>
      <c r="R14" s="7" t="s">
        <v>30</v>
      </c>
      <c r="S14" s="7" t="s">
        <v>30</v>
      </c>
      <c r="T14" s="7" t="s">
        <v>30</v>
      </c>
      <c r="U14" s="7" t="s">
        <v>30</v>
      </c>
      <c r="V14" s="7" t="s">
        <v>57</v>
      </c>
      <c r="W14" s="7" t="s">
        <v>30</v>
      </c>
      <c r="X14" s="7" t="s">
        <v>30</v>
      </c>
      <c r="Y14" s="7" t="s">
        <v>57</v>
      </c>
      <c r="Z14" s="7" t="s">
        <v>30</v>
      </c>
      <c r="AA14" s="7" t="s">
        <v>30</v>
      </c>
      <c r="AB14" s="7" t="s">
        <v>30</v>
      </c>
      <c r="AC14" s="7" t="s">
        <v>30</v>
      </c>
      <c r="AD14" s="7" t="s">
        <v>30</v>
      </c>
      <c r="AE14" s="13"/>
      <c r="AF14" s="7"/>
      <c r="AG14" s="7"/>
      <c r="AH14" s="3" t="s">
        <v>169</v>
      </c>
      <c r="AI14" s="106" t="s">
        <v>30</v>
      </c>
      <c r="AJ14" s="23"/>
      <c r="AK14" s="17"/>
    </row>
    <row r="15" spans="2:37" ht="20.100000000000001" customHeight="1" x14ac:dyDescent="0.15">
      <c r="B15" s="22">
        <f t="shared" si="0"/>
        <v>11</v>
      </c>
      <c r="C15" s="33" t="s">
        <v>121</v>
      </c>
      <c r="D15" s="33">
        <v>1</v>
      </c>
      <c r="E15" s="3" t="s">
        <v>88</v>
      </c>
      <c r="F15" s="4" t="s">
        <v>22</v>
      </c>
      <c r="G15" s="46"/>
      <c r="H15" s="14" t="s">
        <v>41</v>
      </c>
      <c r="I15" s="5" t="s">
        <v>8</v>
      </c>
      <c r="J15" s="46"/>
      <c r="K15" s="52">
        <v>380000</v>
      </c>
      <c r="L15" s="54">
        <v>430000</v>
      </c>
      <c r="M15" s="46" t="s">
        <v>63</v>
      </c>
      <c r="N15" s="6" t="s">
        <v>28</v>
      </c>
      <c r="O15" s="41" t="s">
        <v>91</v>
      </c>
      <c r="P15" s="6" t="s">
        <v>57</v>
      </c>
      <c r="Q15" s="7" t="s">
        <v>30</v>
      </c>
      <c r="R15" s="7" t="s">
        <v>30</v>
      </c>
      <c r="S15" s="7" t="s">
        <v>30</v>
      </c>
      <c r="T15" s="7" t="s">
        <v>30</v>
      </c>
      <c r="U15" s="7" t="s">
        <v>30</v>
      </c>
      <c r="V15" s="7" t="s">
        <v>57</v>
      </c>
      <c r="W15" s="7" t="s">
        <v>30</v>
      </c>
      <c r="X15" s="7" t="s">
        <v>57</v>
      </c>
      <c r="Y15" s="7" t="s">
        <v>30</v>
      </c>
      <c r="Z15" s="7" t="s">
        <v>30</v>
      </c>
      <c r="AA15" s="7" t="s">
        <v>30</v>
      </c>
      <c r="AB15" s="7" t="s">
        <v>30</v>
      </c>
      <c r="AC15" s="7" t="s">
        <v>30</v>
      </c>
      <c r="AD15" s="7" t="s">
        <v>30</v>
      </c>
      <c r="AE15" s="13" t="s">
        <v>146</v>
      </c>
      <c r="AF15" s="7" t="s">
        <v>57</v>
      </c>
      <c r="AG15" s="7" t="s">
        <v>30</v>
      </c>
      <c r="AH15" s="3" t="s">
        <v>145</v>
      </c>
      <c r="AI15" s="106" t="s">
        <v>30</v>
      </c>
      <c r="AJ15" s="23"/>
      <c r="AK15" s="17"/>
    </row>
    <row r="16" spans="2:37" ht="20.100000000000001" customHeight="1" x14ac:dyDescent="0.15">
      <c r="B16" s="22">
        <f t="shared" si="0"/>
        <v>12</v>
      </c>
      <c r="C16" s="33">
        <v>2022</v>
      </c>
      <c r="D16" s="33"/>
      <c r="E16" s="3" t="s">
        <v>100</v>
      </c>
      <c r="F16" s="4" t="s">
        <v>23</v>
      </c>
      <c r="G16" s="46"/>
      <c r="H16" s="14" t="s">
        <v>41</v>
      </c>
      <c r="I16" s="5" t="s">
        <v>8</v>
      </c>
      <c r="J16" s="46"/>
      <c r="K16" s="52">
        <v>13000</v>
      </c>
      <c r="L16" s="54">
        <v>12000</v>
      </c>
      <c r="M16" s="46" t="s">
        <v>63</v>
      </c>
      <c r="N16" s="6" t="s">
        <v>28</v>
      </c>
      <c r="O16" s="4" t="s">
        <v>93</v>
      </c>
      <c r="P16" s="6" t="s">
        <v>57</v>
      </c>
      <c r="Q16" s="7" t="s">
        <v>57</v>
      </c>
      <c r="R16" s="7" t="s">
        <v>57</v>
      </c>
      <c r="S16" s="7" t="s">
        <v>57</v>
      </c>
      <c r="T16" s="7" t="s">
        <v>57</v>
      </c>
      <c r="U16" s="7" t="s">
        <v>57</v>
      </c>
      <c r="V16" s="7" t="s">
        <v>57</v>
      </c>
      <c r="W16" s="7" t="s">
        <v>57</v>
      </c>
      <c r="X16" s="7" t="s">
        <v>57</v>
      </c>
      <c r="Y16" s="7" t="s">
        <v>57</v>
      </c>
      <c r="Z16" s="7" t="s">
        <v>57</v>
      </c>
      <c r="AA16" s="7" t="s">
        <v>30</v>
      </c>
      <c r="AB16" s="7" t="s">
        <v>30</v>
      </c>
      <c r="AC16" s="7" t="s">
        <v>30</v>
      </c>
      <c r="AD16" s="7" t="s">
        <v>30</v>
      </c>
      <c r="AE16" s="13" t="s">
        <v>77</v>
      </c>
      <c r="AF16" s="7" t="s">
        <v>57</v>
      </c>
      <c r="AG16" s="7" t="s">
        <v>57</v>
      </c>
      <c r="AH16" s="3" t="s">
        <v>74</v>
      </c>
      <c r="AI16" s="106"/>
      <c r="AJ16" s="23"/>
      <c r="AK16" s="17"/>
    </row>
    <row r="17" spans="2:37" ht="20.100000000000001" customHeight="1" x14ac:dyDescent="0.15">
      <c r="B17" s="22">
        <f t="shared" si="0"/>
        <v>13</v>
      </c>
      <c r="C17" s="33">
        <v>2022</v>
      </c>
      <c r="D17" s="33"/>
      <c r="E17" s="3" t="s">
        <v>99</v>
      </c>
      <c r="F17" s="4" t="s">
        <v>24</v>
      </c>
      <c r="G17" s="46"/>
      <c r="H17" s="14" t="s">
        <v>41</v>
      </c>
      <c r="I17" s="5" t="s">
        <v>8</v>
      </c>
      <c r="J17" s="46"/>
      <c r="K17" s="52">
        <v>22000</v>
      </c>
      <c r="L17" s="54">
        <v>21000</v>
      </c>
      <c r="M17" s="46" t="s">
        <v>63</v>
      </c>
      <c r="N17" s="6" t="s">
        <v>28</v>
      </c>
      <c r="O17" s="4" t="s">
        <v>93</v>
      </c>
      <c r="P17" s="6" t="s">
        <v>57</v>
      </c>
      <c r="Q17" s="7" t="s">
        <v>57</v>
      </c>
      <c r="R17" s="7" t="s">
        <v>57</v>
      </c>
      <c r="S17" s="7" t="s">
        <v>57</v>
      </c>
      <c r="T17" s="7" t="s">
        <v>57</v>
      </c>
      <c r="U17" s="7" t="s">
        <v>57</v>
      </c>
      <c r="V17" s="7" t="s">
        <v>57</v>
      </c>
      <c r="W17" s="7" t="s">
        <v>57</v>
      </c>
      <c r="X17" s="7" t="s">
        <v>57</v>
      </c>
      <c r="Y17" s="7" t="s">
        <v>57</v>
      </c>
      <c r="Z17" s="7" t="s">
        <v>30</v>
      </c>
      <c r="AA17" s="7" t="s">
        <v>30</v>
      </c>
      <c r="AB17" s="7" t="s">
        <v>30</v>
      </c>
      <c r="AC17" s="7" t="s">
        <v>30</v>
      </c>
      <c r="AD17" s="7" t="s">
        <v>30</v>
      </c>
      <c r="AE17" s="13" t="s">
        <v>76</v>
      </c>
      <c r="AF17" s="7" t="s">
        <v>57</v>
      </c>
      <c r="AG17" s="7" t="s">
        <v>57</v>
      </c>
      <c r="AH17" s="3" t="s">
        <v>75</v>
      </c>
      <c r="AI17" s="106"/>
      <c r="AJ17" s="23"/>
      <c r="AK17" s="17"/>
    </row>
    <row r="18" spans="2:37" ht="20.100000000000001" customHeight="1" x14ac:dyDescent="0.15">
      <c r="B18" s="22">
        <f t="shared" si="0"/>
        <v>14</v>
      </c>
      <c r="C18" s="33">
        <v>2022</v>
      </c>
      <c r="D18" s="33"/>
      <c r="E18" s="3" t="s">
        <v>154</v>
      </c>
      <c r="F18" s="4" t="s">
        <v>25</v>
      </c>
      <c r="G18" s="46"/>
      <c r="H18" s="14" t="s">
        <v>41</v>
      </c>
      <c r="I18" s="5" t="s">
        <v>8</v>
      </c>
      <c r="J18" s="46"/>
      <c r="K18" s="52">
        <v>22000</v>
      </c>
      <c r="L18" s="54">
        <v>21000</v>
      </c>
      <c r="M18" s="46" t="s">
        <v>63</v>
      </c>
      <c r="N18" s="6" t="s">
        <v>28</v>
      </c>
      <c r="O18" s="4"/>
      <c r="P18" s="6" t="s">
        <v>57</v>
      </c>
      <c r="Q18" s="7" t="s">
        <v>57</v>
      </c>
      <c r="R18" s="7" t="s">
        <v>57</v>
      </c>
      <c r="S18" s="7" t="s">
        <v>57</v>
      </c>
      <c r="T18" s="7" t="s">
        <v>57</v>
      </c>
      <c r="U18" s="7" t="s">
        <v>57</v>
      </c>
      <c r="V18" s="7" t="s">
        <v>57</v>
      </c>
      <c r="W18" s="7" t="s">
        <v>57</v>
      </c>
      <c r="X18" s="7" t="s">
        <v>57</v>
      </c>
      <c r="Y18" s="7" t="s">
        <v>57</v>
      </c>
      <c r="Z18" s="7" t="s">
        <v>30</v>
      </c>
      <c r="AA18" s="7" t="s">
        <v>30</v>
      </c>
      <c r="AB18" s="7" t="s">
        <v>30</v>
      </c>
      <c r="AC18" s="7" t="s">
        <v>30</v>
      </c>
      <c r="AD18" s="7" t="s">
        <v>30</v>
      </c>
      <c r="AE18" s="13" t="s">
        <v>151</v>
      </c>
      <c r="AF18" s="7" t="s">
        <v>57</v>
      </c>
      <c r="AG18" s="7" t="s">
        <v>57</v>
      </c>
      <c r="AH18" s="3" t="s">
        <v>152</v>
      </c>
      <c r="AI18" s="106"/>
      <c r="AJ18" s="23"/>
      <c r="AK18" s="17"/>
    </row>
    <row r="19" spans="2:37" ht="20.100000000000001" customHeight="1" x14ac:dyDescent="0.15">
      <c r="B19" s="22">
        <f t="shared" si="0"/>
        <v>15</v>
      </c>
      <c r="C19" s="33">
        <v>2022</v>
      </c>
      <c r="D19" s="33"/>
      <c r="E19" s="3" t="s">
        <v>58</v>
      </c>
      <c r="F19" s="4" t="s">
        <v>26</v>
      </c>
      <c r="G19" s="46"/>
      <c r="H19" s="14" t="s">
        <v>41</v>
      </c>
      <c r="I19" s="5" t="s">
        <v>8</v>
      </c>
      <c r="J19" s="46"/>
      <c r="K19" s="52">
        <v>13000</v>
      </c>
      <c r="L19" s="54">
        <v>12000</v>
      </c>
      <c r="M19" s="46" t="s">
        <v>63</v>
      </c>
      <c r="N19" s="6" t="s">
        <v>28</v>
      </c>
      <c r="O19" s="41" t="s">
        <v>96</v>
      </c>
      <c r="P19" s="6" t="s">
        <v>57</v>
      </c>
      <c r="Q19" s="7" t="s">
        <v>57</v>
      </c>
      <c r="R19" s="7" t="s">
        <v>57</v>
      </c>
      <c r="S19" s="7" t="s">
        <v>57</v>
      </c>
      <c r="T19" s="7" t="s">
        <v>57</v>
      </c>
      <c r="U19" s="7" t="s">
        <v>57</v>
      </c>
      <c r="V19" s="7" t="s">
        <v>57</v>
      </c>
      <c r="W19" s="7" t="s">
        <v>57</v>
      </c>
      <c r="X19" s="7" t="s">
        <v>57</v>
      </c>
      <c r="Y19" s="7" t="s">
        <v>57</v>
      </c>
      <c r="Z19" s="7" t="s">
        <v>57</v>
      </c>
      <c r="AA19" s="7" t="s">
        <v>30</v>
      </c>
      <c r="AB19" s="7" t="s">
        <v>30</v>
      </c>
      <c r="AC19" s="7" t="s">
        <v>30</v>
      </c>
      <c r="AD19" s="7" t="s">
        <v>57</v>
      </c>
      <c r="AE19" s="13" t="s">
        <v>73</v>
      </c>
      <c r="AF19" s="7" t="s">
        <v>57</v>
      </c>
      <c r="AG19" s="7" t="s">
        <v>57</v>
      </c>
      <c r="AH19" s="3" t="s">
        <v>71</v>
      </c>
      <c r="AI19" s="106"/>
      <c r="AJ19" s="23"/>
      <c r="AK19" s="17"/>
    </row>
    <row r="20" spans="2:37" ht="20.100000000000001" customHeight="1" x14ac:dyDescent="0.15">
      <c r="B20" s="22">
        <f t="shared" si="0"/>
        <v>16</v>
      </c>
      <c r="C20" s="33">
        <v>2022</v>
      </c>
      <c r="D20" s="33"/>
      <c r="E20" s="3" t="s">
        <v>59</v>
      </c>
      <c r="F20" s="4" t="s">
        <v>27</v>
      </c>
      <c r="G20" s="46"/>
      <c r="H20" s="14" t="s">
        <v>41</v>
      </c>
      <c r="I20" s="46" t="s">
        <v>8</v>
      </c>
      <c r="J20" s="46"/>
      <c r="K20" s="52">
        <v>16500</v>
      </c>
      <c r="L20" s="54">
        <v>15500</v>
      </c>
      <c r="M20" s="46" t="s">
        <v>63</v>
      </c>
      <c r="N20" s="6" t="s">
        <v>28</v>
      </c>
      <c r="O20" s="41" t="s">
        <v>95</v>
      </c>
      <c r="P20" s="6" t="s">
        <v>57</v>
      </c>
      <c r="Q20" s="7" t="s">
        <v>57</v>
      </c>
      <c r="R20" s="7" t="s">
        <v>57</v>
      </c>
      <c r="S20" s="7" t="s">
        <v>57</v>
      </c>
      <c r="T20" s="7" t="s">
        <v>57</v>
      </c>
      <c r="U20" s="7" t="s">
        <v>57</v>
      </c>
      <c r="V20" s="7" t="s">
        <v>57</v>
      </c>
      <c r="W20" s="7" t="s">
        <v>57</v>
      </c>
      <c r="X20" s="7" t="s">
        <v>57</v>
      </c>
      <c r="Y20" s="7" t="s">
        <v>57</v>
      </c>
      <c r="Z20" s="7" t="s">
        <v>57</v>
      </c>
      <c r="AA20" s="7" t="s">
        <v>30</v>
      </c>
      <c r="AB20" s="7" t="s">
        <v>30</v>
      </c>
      <c r="AC20" s="7" t="s">
        <v>30</v>
      </c>
      <c r="AD20" s="7" t="s">
        <v>57</v>
      </c>
      <c r="AE20" s="13" t="s">
        <v>73</v>
      </c>
      <c r="AF20" s="7"/>
      <c r="AG20" s="7" t="s">
        <v>57</v>
      </c>
      <c r="AH20" s="66" t="s">
        <v>72</v>
      </c>
      <c r="AI20" s="107"/>
      <c r="AJ20" s="23"/>
      <c r="AK20" s="17"/>
    </row>
    <row r="21" spans="2:37" ht="20.100000000000001" customHeight="1" x14ac:dyDescent="0.15">
      <c r="B21" s="22">
        <f t="shared" si="0"/>
        <v>17</v>
      </c>
      <c r="C21" s="33">
        <v>2022</v>
      </c>
      <c r="D21" s="68"/>
      <c r="E21" s="37" t="s">
        <v>66</v>
      </c>
      <c r="F21" s="36" t="s">
        <v>79</v>
      </c>
      <c r="G21" s="86"/>
      <c r="H21" s="56" t="s">
        <v>41</v>
      </c>
      <c r="I21" s="57" t="s">
        <v>67</v>
      </c>
      <c r="J21" s="57"/>
      <c r="K21" s="58">
        <v>120000</v>
      </c>
      <c r="L21" s="59"/>
      <c r="M21" s="57" t="s">
        <v>86</v>
      </c>
      <c r="N21" s="60" t="s">
        <v>28</v>
      </c>
      <c r="O21" s="61"/>
      <c r="P21" s="60" t="s">
        <v>30</v>
      </c>
      <c r="Q21" s="62" t="s">
        <v>30</v>
      </c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3"/>
      <c r="AF21" s="62"/>
      <c r="AG21" s="62"/>
      <c r="AH21" s="64"/>
      <c r="AI21" s="104"/>
      <c r="AJ21" s="65"/>
      <c r="AK21" s="17"/>
    </row>
    <row r="22" spans="2:37" customFormat="1" ht="20.100000000000001" customHeight="1" x14ac:dyDescent="0.15">
      <c r="B22" s="22">
        <f t="shared" si="0"/>
        <v>18</v>
      </c>
      <c r="C22" s="33" t="s">
        <v>121</v>
      </c>
      <c r="D22" s="33">
        <v>1</v>
      </c>
      <c r="E22" s="37" t="s">
        <v>101</v>
      </c>
      <c r="F22" s="31" t="s">
        <v>80</v>
      </c>
      <c r="G22" s="82"/>
      <c r="H22" s="14" t="s">
        <v>41</v>
      </c>
      <c r="I22" s="5" t="s">
        <v>8</v>
      </c>
      <c r="J22" s="46"/>
      <c r="K22" s="52">
        <v>16500</v>
      </c>
      <c r="L22" s="54">
        <v>16000</v>
      </c>
      <c r="M22" s="46" t="s">
        <v>63</v>
      </c>
      <c r="N22" s="6" t="s">
        <v>28</v>
      </c>
      <c r="O22" s="41" t="s">
        <v>113</v>
      </c>
      <c r="P22" s="6" t="s">
        <v>57</v>
      </c>
      <c r="Q22" s="7" t="s">
        <v>40</v>
      </c>
      <c r="R22" s="7" t="s">
        <v>57</v>
      </c>
      <c r="S22" s="7" t="s">
        <v>57</v>
      </c>
      <c r="T22" s="7" t="s">
        <v>57</v>
      </c>
      <c r="U22" s="7" t="s">
        <v>57</v>
      </c>
      <c r="V22" s="7" t="s">
        <v>57</v>
      </c>
      <c r="W22" s="7" t="s">
        <v>30</v>
      </c>
      <c r="X22" s="7" t="s">
        <v>30</v>
      </c>
      <c r="Y22" s="7" t="s">
        <v>57</v>
      </c>
      <c r="Z22" s="7" t="s">
        <v>57</v>
      </c>
      <c r="AA22" s="7" t="s">
        <v>30</v>
      </c>
      <c r="AB22" s="7" t="s">
        <v>30</v>
      </c>
      <c r="AC22" s="7" t="s">
        <v>30</v>
      </c>
      <c r="AD22" s="7" t="s">
        <v>30</v>
      </c>
      <c r="AE22" s="67" t="s">
        <v>155</v>
      </c>
      <c r="AF22" s="7" t="s">
        <v>57</v>
      </c>
      <c r="AG22" s="7" t="s">
        <v>30</v>
      </c>
      <c r="AH22" s="66" t="s">
        <v>153</v>
      </c>
      <c r="AI22" s="107"/>
      <c r="AJ22" s="24" t="s">
        <v>167</v>
      </c>
      <c r="AK22" s="18"/>
    </row>
    <row r="23" spans="2:37" customFormat="1" ht="20.100000000000001" customHeight="1" x14ac:dyDescent="0.15">
      <c r="B23" s="22">
        <f t="shared" si="0"/>
        <v>19</v>
      </c>
      <c r="C23" s="33" t="s">
        <v>121</v>
      </c>
      <c r="D23" s="33"/>
      <c r="E23" s="37" t="s">
        <v>102</v>
      </c>
      <c r="F23" s="31" t="s">
        <v>81</v>
      </c>
      <c r="G23" s="82"/>
      <c r="H23" s="35" t="s">
        <v>41</v>
      </c>
      <c r="I23" s="5" t="s">
        <v>67</v>
      </c>
      <c r="J23" s="46"/>
      <c r="K23" s="52">
        <v>80000</v>
      </c>
      <c r="L23" s="54"/>
      <c r="M23" s="46" t="s">
        <v>86</v>
      </c>
      <c r="N23" s="7" t="s">
        <v>28</v>
      </c>
      <c r="O23" s="41" t="s">
        <v>90</v>
      </c>
      <c r="P23" s="6" t="s">
        <v>30</v>
      </c>
      <c r="Q23" s="7" t="s">
        <v>30</v>
      </c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13"/>
      <c r="AF23" s="7"/>
      <c r="AG23" s="7"/>
      <c r="AH23" s="9"/>
      <c r="AI23" s="105"/>
      <c r="AJ23" s="25"/>
      <c r="AK23" s="19"/>
    </row>
    <row r="24" spans="2:37" ht="20.100000000000001" customHeight="1" x14ac:dyDescent="0.15">
      <c r="B24" s="22">
        <f t="shared" si="0"/>
        <v>20</v>
      </c>
      <c r="C24" s="33">
        <v>2022</v>
      </c>
      <c r="D24" s="33"/>
      <c r="E24" s="3" t="s">
        <v>141</v>
      </c>
      <c r="F24" s="31" t="s">
        <v>82</v>
      </c>
      <c r="G24" s="82"/>
      <c r="H24" s="35" t="s">
        <v>68</v>
      </c>
      <c r="I24" s="5" t="s">
        <v>8</v>
      </c>
      <c r="J24" s="46"/>
      <c r="K24" s="52">
        <v>130000</v>
      </c>
      <c r="L24" s="54">
        <v>123000</v>
      </c>
      <c r="M24" s="46" t="s">
        <v>63</v>
      </c>
      <c r="N24" s="7" t="s">
        <v>28</v>
      </c>
      <c r="O24" s="41" t="s">
        <v>89</v>
      </c>
      <c r="P24" s="6" t="s">
        <v>57</v>
      </c>
      <c r="Q24" s="7" t="s">
        <v>57</v>
      </c>
      <c r="R24" s="7" t="s">
        <v>57</v>
      </c>
      <c r="S24" s="7" t="s">
        <v>57</v>
      </c>
      <c r="T24" s="7" t="s">
        <v>57</v>
      </c>
      <c r="U24" s="7" t="s">
        <v>57</v>
      </c>
      <c r="V24" s="7" t="s">
        <v>57</v>
      </c>
      <c r="W24" s="7" t="s">
        <v>57</v>
      </c>
      <c r="X24" s="7" t="s">
        <v>57</v>
      </c>
      <c r="Y24" s="7" t="s">
        <v>57</v>
      </c>
      <c r="Z24" s="7" t="s">
        <v>57</v>
      </c>
      <c r="AA24" s="7" t="s">
        <v>30</v>
      </c>
      <c r="AB24" s="7" t="s">
        <v>57</v>
      </c>
      <c r="AC24" s="7" t="s">
        <v>57</v>
      </c>
      <c r="AD24" s="7" t="s">
        <v>30</v>
      </c>
      <c r="AE24" s="13" t="s">
        <v>105</v>
      </c>
      <c r="AF24" s="7" t="s">
        <v>57</v>
      </c>
      <c r="AG24" s="7" t="s">
        <v>30</v>
      </c>
      <c r="AH24" s="3" t="s">
        <v>104</v>
      </c>
      <c r="AI24" s="106"/>
      <c r="AJ24" s="23"/>
      <c r="AK24" s="17"/>
    </row>
    <row r="25" spans="2:37" customFormat="1" ht="20.100000000000001" customHeight="1" x14ac:dyDescent="0.15">
      <c r="B25" s="22">
        <f t="shared" si="0"/>
        <v>21</v>
      </c>
      <c r="C25" s="80" t="s">
        <v>121</v>
      </c>
      <c r="D25" s="33">
        <v>1</v>
      </c>
      <c r="E25" s="3" t="s">
        <v>242</v>
      </c>
      <c r="F25" s="31" t="s">
        <v>83</v>
      </c>
      <c r="G25" s="82" t="s">
        <v>207</v>
      </c>
      <c r="H25" s="35" t="s">
        <v>68</v>
      </c>
      <c r="I25" s="83" t="s">
        <v>8</v>
      </c>
      <c r="J25" s="46">
        <v>2024.1</v>
      </c>
      <c r="K25" s="52">
        <v>175000</v>
      </c>
      <c r="L25" s="54">
        <v>170000</v>
      </c>
      <c r="M25" s="73" t="s">
        <v>63</v>
      </c>
      <c r="N25" s="6" t="s">
        <v>29</v>
      </c>
      <c r="O25" s="41" t="s">
        <v>116</v>
      </c>
      <c r="P25" s="6" t="s">
        <v>57</v>
      </c>
      <c r="Q25" s="7" t="s">
        <v>30</v>
      </c>
      <c r="R25" s="7" t="s">
        <v>30</v>
      </c>
      <c r="S25" s="7" t="s">
        <v>57</v>
      </c>
      <c r="T25" s="7" t="s">
        <v>30</v>
      </c>
      <c r="U25" s="7" t="s">
        <v>30</v>
      </c>
      <c r="V25" s="7" t="s">
        <v>57</v>
      </c>
      <c r="W25" s="7" t="s">
        <v>30</v>
      </c>
      <c r="X25" s="7" t="s">
        <v>30</v>
      </c>
      <c r="Y25" s="7" t="s">
        <v>57</v>
      </c>
      <c r="Z25" s="7" t="s">
        <v>30</v>
      </c>
      <c r="AA25" s="7" t="s">
        <v>30</v>
      </c>
      <c r="AB25" s="7" t="s">
        <v>30</v>
      </c>
      <c r="AC25" s="7" t="s">
        <v>30</v>
      </c>
      <c r="AD25" s="7" t="s">
        <v>30</v>
      </c>
      <c r="AE25" s="13"/>
      <c r="AF25" s="7" t="s">
        <v>57</v>
      </c>
      <c r="AG25" s="7" t="s">
        <v>30</v>
      </c>
      <c r="AH25" s="3"/>
      <c r="AI25" s="106" t="s">
        <v>30</v>
      </c>
      <c r="AJ25" s="25"/>
      <c r="AK25" s="19"/>
    </row>
    <row r="26" spans="2:37" customFormat="1" ht="20.100000000000001" customHeight="1" x14ac:dyDescent="0.15">
      <c r="B26" s="22">
        <f t="shared" si="0"/>
        <v>22</v>
      </c>
      <c r="C26" s="33" t="s">
        <v>121</v>
      </c>
      <c r="D26" s="33">
        <v>2023.2</v>
      </c>
      <c r="E26" s="3" t="s">
        <v>161</v>
      </c>
      <c r="F26" s="31" t="s">
        <v>84</v>
      </c>
      <c r="G26" s="82"/>
      <c r="H26" s="35" t="s">
        <v>41</v>
      </c>
      <c r="I26" s="5" t="s">
        <v>8</v>
      </c>
      <c r="J26" s="46"/>
      <c r="K26" s="52">
        <v>300000</v>
      </c>
      <c r="L26" s="54">
        <v>239153</v>
      </c>
      <c r="M26" s="73" t="s">
        <v>63</v>
      </c>
      <c r="N26" s="6" t="s">
        <v>29</v>
      </c>
      <c r="O26" s="41" t="s">
        <v>112</v>
      </c>
      <c r="P26" s="6" t="s">
        <v>57</v>
      </c>
      <c r="Q26" s="7" t="s">
        <v>30</v>
      </c>
      <c r="R26" s="7" t="s">
        <v>30</v>
      </c>
      <c r="S26" s="7" t="s">
        <v>57</v>
      </c>
      <c r="T26" s="7" t="s">
        <v>57</v>
      </c>
      <c r="U26" s="7" t="s">
        <v>57</v>
      </c>
      <c r="V26" s="7" t="s">
        <v>30</v>
      </c>
      <c r="W26" s="7" t="s">
        <v>57</v>
      </c>
      <c r="X26" s="7" t="s">
        <v>57</v>
      </c>
      <c r="Y26" s="7" t="s">
        <v>57</v>
      </c>
      <c r="Z26" s="7"/>
      <c r="AA26" s="7"/>
      <c r="AB26" s="7"/>
      <c r="AC26" s="7"/>
      <c r="AD26" s="7"/>
      <c r="AE26" s="13"/>
      <c r="AF26" s="7"/>
      <c r="AG26" s="7"/>
      <c r="AH26" s="9"/>
      <c r="AI26" s="108"/>
      <c r="AJ26" s="25"/>
      <c r="AK26" s="19"/>
    </row>
    <row r="27" spans="2:37" ht="20.100000000000001" customHeight="1" x14ac:dyDescent="0.15">
      <c r="B27" s="22">
        <f t="shared" si="0"/>
        <v>23</v>
      </c>
      <c r="C27" s="80">
        <v>2024</v>
      </c>
      <c r="D27" s="124"/>
      <c r="E27" s="3" t="s">
        <v>243</v>
      </c>
      <c r="F27" s="31" t="s">
        <v>85</v>
      </c>
      <c r="G27" s="82" t="s">
        <v>207</v>
      </c>
      <c r="H27" s="47" t="s">
        <v>41</v>
      </c>
      <c r="I27" s="83" t="s">
        <v>215</v>
      </c>
      <c r="J27" s="46"/>
      <c r="K27" s="52">
        <v>2000000</v>
      </c>
      <c r="L27" s="54">
        <v>1720000</v>
      </c>
      <c r="M27" s="125" t="s">
        <v>103</v>
      </c>
      <c r="N27" s="6" t="s">
        <v>29</v>
      </c>
      <c r="O27" s="41" t="s">
        <v>318</v>
      </c>
      <c r="P27" s="6" t="s">
        <v>57</v>
      </c>
      <c r="Q27" s="125" t="s">
        <v>30</v>
      </c>
      <c r="R27" s="125" t="s">
        <v>30</v>
      </c>
      <c r="S27" s="125" t="s">
        <v>57</v>
      </c>
      <c r="T27" s="125" t="s">
        <v>30</v>
      </c>
      <c r="U27" s="125" t="s">
        <v>57</v>
      </c>
      <c r="V27" s="125" t="s">
        <v>30</v>
      </c>
      <c r="W27" s="125"/>
      <c r="X27" s="125"/>
      <c r="Y27" s="7"/>
      <c r="Z27" s="125"/>
      <c r="AA27" s="125"/>
      <c r="AB27" s="125"/>
      <c r="AC27" s="125"/>
      <c r="AD27" s="125"/>
      <c r="AE27" s="13"/>
      <c r="AF27" s="125"/>
      <c r="AG27" s="125"/>
      <c r="AH27" s="3"/>
      <c r="AI27" s="123"/>
      <c r="AJ27" s="23"/>
      <c r="AK27" s="17"/>
    </row>
    <row r="28" spans="2:37" customFormat="1" ht="20.100000000000001" customHeight="1" x14ac:dyDescent="0.15">
      <c r="B28" s="22">
        <f t="shared" si="0"/>
        <v>24</v>
      </c>
      <c r="C28" s="33" t="s">
        <v>121</v>
      </c>
      <c r="D28" s="33">
        <v>2023.1</v>
      </c>
      <c r="E28" s="3" t="s">
        <v>107</v>
      </c>
      <c r="F28" s="31" t="s">
        <v>108</v>
      </c>
      <c r="G28" s="82"/>
      <c r="H28" s="35" t="s">
        <v>41</v>
      </c>
      <c r="I28" s="5" t="s">
        <v>106</v>
      </c>
      <c r="J28" s="46"/>
      <c r="K28" s="52">
        <v>90000</v>
      </c>
      <c r="L28" s="54">
        <v>71063</v>
      </c>
      <c r="M28" s="73" t="s">
        <v>86</v>
      </c>
      <c r="N28" s="6" t="s">
        <v>29</v>
      </c>
      <c r="O28" s="41" t="s">
        <v>111</v>
      </c>
      <c r="P28" s="6" t="s">
        <v>57</v>
      </c>
      <c r="Q28" s="7" t="s">
        <v>30</v>
      </c>
      <c r="R28" s="7" t="s">
        <v>30</v>
      </c>
      <c r="S28" s="7" t="s">
        <v>57</v>
      </c>
      <c r="T28" s="7" t="s">
        <v>30</v>
      </c>
      <c r="U28" s="7" t="s">
        <v>57</v>
      </c>
      <c r="V28" s="7" t="s">
        <v>30</v>
      </c>
      <c r="W28" s="7" t="s">
        <v>57</v>
      </c>
      <c r="X28" s="7" t="s">
        <v>57</v>
      </c>
      <c r="Y28" s="7" t="s">
        <v>57</v>
      </c>
      <c r="Z28" s="7"/>
      <c r="AA28" s="7"/>
      <c r="AB28" s="7"/>
      <c r="AC28" s="7"/>
      <c r="AD28" s="7"/>
      <c r="AE28" s="13" t="s">
        <v>147</v>
      </c>
      <c r="AF28" s="7"/>
      <c r="AG28" s="7"/>
      <c r="AH28" s="3" t="s">
        <v>142</v>
      </c>
      <c r="AI28" s="103"/>
      <c r="AJ28" s="25"/>
      <c r="AK28" s="19"/>
    </row>
    <row r="29" spans="2:37" customFormat="1" ht="20.100000000000001" customHeight="1" x14ac:dyDescent="0.15">
      <c r="B29" s="22">
        <f t="shared" si="0"/>
        <v>25</v>
      </c>
      <c r="C29" s="7">
        <v>2022</v>
      </c>
      <c r="D29" s="7"/>
      <c r="E29" s="3" t="s">
        <v>231</v>
      </c>
      <c r="F29" s="31" t="s">
        <v>118</v>
      </c>
      <c r="G29" s="82"/>
      <c r="H29" s="47" t="s">
        <v>41</v>
      </c>
      <c r="I29" s="46" t="s">
        <v>8</v>
      </c>
      <c r="J29" s="46"/>
      <c r="K29" s="52">
        <v>300000</v>
      </c>
      <c r="L29" s="54">
        <v>290000</v>
      </c>
      <c r="M29" s="73" t="s">
        <v>63</v>
      </c>
      <c r="N29" s="6" t="s">
        <v>131</v>
      </c>
      <c r="O29" s="41" t="s">
        <v>120</v>
      </c>
      <c r="P29" s="6"/>
      <c r="Q29" s="7" t="s">
        <v>57</v>
      </c>
      <c r="R29" s="7" t="s">
        <v>57</v>
      </c>
      <c r="S29" s="7" t="s">
        <v>57</v>
      </c>
      <c r="T29" s="7" t="s">
        <v>57</v>
      </c>
      <c r="U29" s="7" t="s">
        <v>57</v>
      </c>
      <c r="V29" s="7" t="s">
        <v>57</v>
      </c>
      <c r="W29" s="7" t="s">
        <v>57</v>
      </c>
      <c r="X29" s="7" t="s">
        <v>57</v>
      </c>
      <c r="Y29" s="7" t="s">
        <v>57</v>
      </c>
      <c r="Z29" s="7" t="s">
        <v>30</v>
      </c>
      <c r="AA29" s="7"/>
      <c r="AB29" s="7" t="s">
        <v>30</v>
      </c>
      <c r="AC29" s="7" t="s">
        <v>30</v>
      </c>
      <c r="AD29" s="7" t="s">
        <v>30</v>
      </c>
      <c r="AE29" s="13"/>
      <c r="AF29" s="7"/>
      <c r="AG29" s="7"/>
      <c r="AH29" s="3" t="s">
        <v>119</v>
      </c>
      <c r="AI29" s="106"/>
      <c r="AJ29" s="25"/>
      <c r="AK29" s="19"/>
    </row>
    <row r="30" spans="2:37" ht="20.100000000000001" customHeight="1" x14ac:dyDescent="0.15">
      <c r="B30" s="22">
        <f t="shared" si="0"/>
        <v>26</v>
      </c>
      <c r="C30" s="80" t="s">
        <v>190</v>
      </c>
      <c r="D30" s="124">
        <v>2023.6</v>
      </c>
      <c r="E30" s="3" t="s">
        <v>316</v>
      </c>
      <c r="F30" s="4" t="s">
        <v>132</v>
      </c>
      <c r="G30" s="46" t="s">
        <v>207</v>
      </c>
      <c r="H30" s="47" t="s">
        <v>41</v>
      </c>
      <c r="I30" s="83" t="s">
        <v>168</v>
      </c>
      <c r="J30" s="46"/>
      <c r="K30" s="52">
        <v>160000</v>
      </c>
      <c r="L30" s="54">
        <v>152000</v>
      </c>
      <c r="M30" s="125" t="s">
        <v>103</v>
      </c>
      <c r="N30" s="6" t="s">
        <v>123</v>
      </c>
      <c r="O30" s="41" t="s">
        <v>189</v>
      </c>
      <c r="P30" s="6" t="s">
        <v>30</v>
      </c>
      <c r="Q30" s="125" t="s">
        <v>30</v>
      </c>
      <c r="R30" s="125" t="s">
        <v>30</v>
      </c>
      <c r="S30" s="125" t="s">
        <v>30</v>
      </c>
      <c r="T30" s="125" t="s">
        <v>30</v>
      </c>
      <c r="U30" s="125" t="s">
        <v>30</v>
      </c>
      <c r="V30" s="125" t="s">
        <v>57</v>
      </c>
      <c r="W30" s="125" t="s">
        <v>57</v>
      </c>
      <c r="X30" s="125" t="s">
        <v>30</v>
      </c>
      <c r="Y30" s="7" t="s">
        <v>57</v>
      </c>
      <c r="Z30" s="125"/>
      <c r="AA30" s="125" t="s">
        <v>30</v>
      </c>
      <c r="AB30" s="125" t="s">
        <v>30</v>
      </c>
      <c r="AC30" s="125" t="s">
        <v>30</v>
      </c>
      <c r="AD30" s="125"/>
      <c r="AE30" s="13"/>
      <c r="AF30" s="125"/>
      <c r="AG30" s="125"/>
      <c r="AH30" s="3"/>
      <c r="AI30" s="123"/>
      <c r="AJ30" s="23"/>
      <c r="AK30" s="17"/>
    </row>
    <row r="31" spans="2:37" customFormat="1" ht="20.100000000000001" customHeight="1" x14ac:dyDescent="0.15">
      <c r="B31" s="22">
        <f t="shared" si="0"/>
        <v>27</v>
      </c>
      <c r="C31" s="80">
        <v>2023</v>
      </c>
      <c r="D31" s="33">
        <v>2023.6</v>
      </c>
      <c r="E31" s="3" t="s">
        <v>237</v>
      </c>
      <c r="F31" s="4" t="s">
        <v>216</v>
      </c>
      <c r="G31" s="46" t="s">
        <v>207</v>
      </c>
      <c r="H31" s="47" t="s">
        <v>41</v>
      </c>
      <c r="I31" s="46" t="s">
        <v>8</v>
      </c>
      <c r="J31" s="46">
        <v>2024.3</v>
      </c>
      <c r="K31" s="52">
        <v>80000</v>
      </c>
      <c r="L31" s="54">
        <v>69000</v>
      </c>
      <c r="M31" s="73" t="s">
        <v>63</v>
      </c>
      <c r="N31" s="6" t="s">
        <v>28</v>
      </c>
      <c r="O31" s="4" t="s">
        <v>165</v>
      </c>
      <c r="P31" s="6" t="s">
        <v>30</v>
      </c>
      <c r="Q31" s="7" t="s">
        <v>30</v>
      </c>
      <c r="R31" s="7" t="s">
        <v>30</v>
      </c>
      <c r="S31" s="7" t="s">
        <v>30</v>
      </c>
      <c r="T31" s="7" t="s">
        <v>30</v>
      </c>
      <c r="U31" s="7" t="s">
        <v>30</v>
      </c>
      <c r="V31" s="7" t="s">
        <v>57</v>
      </c>
      <c r="W31" s="7" t="s">
        <v>57</v>
      </c>
      <c r="X31" s="7" t="s">
        <v>30</v>
      </c>
      <c r="Y31" s="7" t="s">
        <v>57</v>
      </c>
      <c r="Z31" s="7" t="s">
        <v>30</v>
      </c>
      <c r="AA31" s="7" t="s">
        <v>30</v>
      </c>
      <c r="AB31" s="7" t="s">
        <v>30</v>
      </c>
      <c r="AC31" s="7" t="s">
        <v>30</v>
      </c>
      <c r="AD31" s="7" t="s">
        <v>30</v>
      </c>
      <c r="AE31" s="13" t="s">
        <v>214</v>
      </c>
      <c r="AF31" s="7" t="s">
        <v>57</v>
      </c>
      <c r="AG31" s="7" t="s">
        <v>57</v>
      </c>
      <c r="AH31" s="3" t="s">
        <v>192</v>
      </c>
      <c r="AI31" s="106" t="s">
        <v>30</v>
      </c>
      <c r="AJ31" s="25"/>
      <c r="AK31" s="19"/>
    </row>
    <row r="32" spans="2:37" ht="20.100000000000001" customHeight="1" x14ac:dyDescent="0.15">
      <c r="B32" s="22">
        <f t="shared" si="0"/>
        <v>28</v>
      </c>
      <c r="C32" s="124">
        <v>2023</v>
      </c>
      <c r="D32" s="124">
        <v>2024.12</v>
      </c>
      <c r="E32" s="3" t="s">
        <v>334</v>
      </c>
      <c r="F32" s="31" t="s">
        <v>133</v>
      </c>
      <c r="G32" s="82" t="s">
        <v>207</v>
      </c>
      <c r="H32" s="47" t="s">
        <v>41</v>
      </c>
      <c r="I32" s="83" t="s">
        <v>55</v>
      </c>
      <c r="J32" s="46"/>
      <c r="K32" s="52">
        <v>180000</v>
      </c>
      <c r="L32" s="54">
        <v>470000</v>
      </c>
      <c r="M32" s="125" t="s">
        <v>103</v>
      </c>
      <c r="N32" s="6" t="s">
        <v>140</v>
      </c>
      <c r="O32" s="4" t="s">
        <v>333</v>
      </c>
      <c r="P32" s="6" t="s">
        <v>30</v>
      </c>
      <c r="Q32" s="125" t="s">
        <v>30</v>
      </c>
      <c r="R32" s="125"/>
      <c r="S32" s="125" t="s">
        <v>57</v>
      </c>
      <c r="T32" s="125" t="s">
        <v>30</v>
      </c>
      <c r="U32" s="125" t="s">
        <v>30</v>
      </c>
      <c r="V32" s="125" t="s">
        <v>30</v>
      </c>
      <c r="W32" s="125"/>
      <c r="X32" s="125"/>
      <c r="Y32" s="7"/>
      <c r="Z32" s="125"/>
      <c r="AA32" s="125"/>
      <c r="AB32" s="125"/>
      <c r="AC32" s="125"/>
      <c r="AD32" s="125"/>
      <c r="AE32" s="13"/>
      <c r="AF32" s="125"/>
      <c r="AG32" s="125"/>
      <c r="AH32" s="3"/>
      <c r="AI32" s="123"/>
      <c r="AJ32" s="23"/>
      <c r="AK32" s="17"/>
    </row>
    <row r="33" spans="2:37" customFormat="1" ht="20.100000000000001" customHeight="1" x14ac:dyDescent="0.15">
      <c r="B33" s="22">
        <f t="shared" si="0"/>
        <v>29</v>
      </c>
      <c r="C33" s="33">
        <v>2023</v>
      </c>
      <c r="D33" s="33"/>
      <c r="E33" s="3" t="s">
        <v>128</v>
      </c>
      <c r="F33" s="31" t="s">
        <v>134</v>
      </c>
      <c r="G33" s="82"/>
      <c r="H33" s="47" t="s">
        <v>41</v>
      </c>
      <c r="I33" s="46"/>
      <c r="J33" s="46"/>
      <c r="K33" s="52">
        <v>350000</v>
      </c>
      <c r="L33" s="54"/>
      <c r="M33" s="73" t="s">
        <v>127</v>
      </c>
      <c r="N33" s="6" t="s">
        <v>126</v>
      </c>
      <c r="O33" s="4"/>
      <c r="P33" s="6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13"/>
      <c r="AF33" s="7"/>
      <c r="AG33" s="7"/>
      <c r="AH33" s="9"/>
      <c r="AI33" s="105"/>
      <c r="AJ33" s="25"/>
      <c r="AK33" s="19"/>
    </row>
    <row r="34" spans="2:37" customFormat="1" ht="20.100000000000001" customHeight="1" x14ac:dyDescent="0.15">
      <c r="B34" s="22">
        <f t="shared" si="0"/>
        <v>30</v>
      </c>
      <c r="C34" s="33">
        <v>2023</v>
      </c>
      <c r="D34" s="33"/>
      <c r="E34" s="3" t="s">
        <v>129</v>
      </c>
      <c r="F34" s="31" t="s">
        <v>135</v>
      </c>
      <c r="G34" s="82"/>
      <c r="H34" s="47" t="s">
        <v>41</v>
      </c>
      <c r="I34" s="46"/>
      <c r="J34" s="46"/>
      <c r="K34" s="52">
        <v>100000</v>
      </c>
      <c r="L34" s="54"/>
      <c r="M34" s="73" t="s">
        <v>127</v>
      </c>
      <c r="N34" s="6" t="s">
        <v>126</v>
      </c>
      <c r="O34" s="4"/>
      <c r="P34" s="6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13"/>
      <c r="AF34" s="7"/>
      <c r="AG34" s="7"/>
      <c r="AH34" s="9"/>
      <c r="AI34" s="105"/>
      <c r="AJ34" s="25"/>
      <c r="AK34" s="19"/>
    </row>
    <row r="35" spans="2:37" ht="20.100000000000001" customHeight="1" x14ac:dyDescent="0.15">
      <c r="B35" s="22">
        <f t="shared" si="0"/>
        <v>31</v>
      </c>
      <c r="C35" s="124">
        <v>2023</v>
      </c>
      <c r="D35" s="124"/>
      <c r="E35" s="3" t="s">
        <v>351</v>
      </c>
      <c r="F35" s="31" t="s">
        <v>352</v>
      </c>
      <c r="G35" s="82" t="s">
        <v>211</v>
      </c>
      <c r="H35" s="47" t="s">
        <v>41</v>
      </c>
      <c r="I35" s="83" t="s">
        <v>67</v>
      </c>
      <c r="J35" s="46"/>
      <c r="K35" s="52">
        <v>120000</v>
      </c>
      <c r="L35" s="54"/>
      <c r="M35" s="125" t="s">
        <v>103</v>
      </c>
      <c r="N35" s="6" t="s">
        <v>126</v>
      </c>
      <c r="O35" s="4"/>
      <c r="P35" s="6" t="s">
        <v>57</v>
      </c>
      <c r="Q35" s="125"/>
      <c r="R35" s="125"/>
      <c r="S35" s="125"/>
      <c r="T35" s="125"/>
      <c r="U35" s="125"/>
      <c r="V35" s="125"/>
      <c r="W35" s="125"/>
      <c r="X35" s="125"/>
      <c r="Y35" s="7"/>
      <c r="Z35" s="125"/>
      <c r="AA35" s="125"/>
      <c r="AB35" s="125"/>
      <c r="AC35" s="125"/>
      <c r="AD35" s="125"/>
      <c r="AE35" s="13"/>
      <c r="AF35" s="125"/>
      <c r="AG35" s="125"/>
      <c r="AH35" s="3"/>
      <c r="AI35" s="123"/>
      <c r="AJ35" s="23"/>
      <c r="AK35" s="17"/>
    </row>
    <row r="36" spans="2:37" customFormat="1" ht="20.100000000000001" customHeight="1" x14ac:dyDescent="0.15">
      <c r="B36" s="22">
        <f t="shared" si="0"/>
        <v>32</v>
      </c>
      <c r="C36" s="33">
        <v>2023</v>
      </c>
      <c r="D36" s="33"/>
      <c r="E36" s="3" t="s">
        <v>130</v>
      </c>
      <c r="F36" s="31" t="s">
        <v>136</v>
      </c>
      <c r="G36" s="82"/>
      <c r="H36" s="47" t="s">
        <v>41</v>
      </c>
      <c r="I36" s="46"/>
      <c r="J36" s="46"/>
      <c r="K36" s="52">
        <v>200000</v>
      </c>
      <c r="L36" s="54"/>
      <c r="M36" s="73" t="s">
        <v>127</v>
      </c>
      <c r="N36" s="6" t="s">
        <v>126</v>
      </c>
      <c r="O36" s="4"/>
      <c r="P36" s="6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13"/>
      <c r="AF36" s="7"/>
      <c r="AG36" s="7"/>
      <c r="AH36" s="9"/>
      <c r="AI36" s="105"/>
      <c r="AJ36" s="25"/>
      <c r="AK36" s="19"/>
    </row>
    <row r="37" spans="2:37" customFormat="1" ht="20.100000000000001" customHeight="1" x14ac:dyDescent="0.15">
      <c r="B37" s="22">
        <f t="shared" si="0"/>
        <v>33</v>
      </c>
      <c r="C37" s="33">
        <v>2024</v>
      </c>
      <c r="D37" s="33"/>
      <c r="E37" s="3" t="s">
        <v>249</v>
      </c>
      <c r="F37" s="4" t="s">
        <v>137</v>
      </c>
      <c r="G37" s="46" t="s">
        <v>207</v>
      </c>
      <c r="H37" s="47" t="s">
        <v>41</v>
      </c>
      <c r="I37" s="46" t="s">
        <v>125</v>
      </c>
      <c r="J37" s="46"/>
      <c r="K37" s="52">
        <v>190000</v>
      </c>
      <c r="L37" s="54"/>
      <c r="M37" s="73" t="s">
        <v>86</v>
      </c>
      <c r="N37" s="6" t="s">
        <v>126</v>
      </c>
      <c r="O37" s="4"/>
      <c r="P37" s="6" t="s">
        <v>57</v>
      </c>
      <c r="Q37" s="7" t="s">
        <v>57</v>
      </c>
      <c r="R37" s="7" t="s">
        <v>30</v>
      </c>
      <c r="S37" s="7" t="s">
        <v>57</v>
      </c>
      <c r="T37" s="7" t="s">
        <v>30</v>
      </c>
      <c r="U37" s="7" t="s">
        <v>30</v>
      </c>
      <c r="V37" s="7"/>
      <c r="W37" s="7"/>
      <c r="X37" s="7"/>
      <c r="Y37" s="7"/>
      <c r="Z37" s="7"/>
      <c r="AA37" s="7"/>
      <c r="AB37" s="7"/>
      <c r="AC37" s="7"/>
      <c r="AD37" s="7"/>
      <c r="AE37" s="13"/>
      <c r="AF37" s="7"/>
      <c r="AG37" s="7"/>
      <c r="AH37" s="9"/>
      <c r="AI37" s="108"/>
      <c r="AJ37" s="25"/>
      <c r="AK37" s="19"/>
    </row>
    <row r="38" spans="2:37" customFormat="1" ht="20.100000000000001" customHeight="1" x14ac:dyDescent="0.15">
      <c r="B38" s="22">
        <f t="shared" si="0"/>
        <v>34</v>
      </c>
      <c r="C38" s="33">
        <v>2023</v>
      </c>
      <c r="D38" s="33">
        <v>2023.3</v>
      </c>
      <c r="E38" s="3" t="s">
        <v>149</v>
      </c>
      <c r="F38" s="31" t="s">
        <v>138</v>
      </c>
      <c r="G38" s="82"/>
      <c r="H38" s="35" t="s">
        <v>41</v>
      </c>
      <c r="I38" s="5" t="s">
        <v>8</v>
      </c>
      <c r="J38" s="46"/>
      <c r="K38" s="52">
        <v>8000</v>
      </c>
      <c r="L38" s="54">
        <v>4730</v>
      </c>
      <c r="M38" s="73" t="s">
        <v>63</v>
      </c>
      <c r="N38" s="6" t="s">
        <v>139</v>
      </c>
      <c r="O38" s="4" t="s">
        <v>159</v>
      </c>
      <c r="P38" s="6" t="s">
        <v>30</v>
      </c>
      <c r="Q38" s="7" t="s">
        <v>30</v>
      </c>
      <c r="R38" s="7" t="s">
        <v>57</v>
      </c>
      <c r="S38" s="7" t="s">
        <v>30</v>
      </c>
      <c r="T38" s="7" t="s">
        <v>57</v>
      </c>
      <c r="U38" s="7" t="s">
        <v>30</v>
      </c>
      <c r="V38" s="7" t="s">
        <v>57</v>
      </c>
      <c r="W38" s="7" t="s">
        <v>57</v>
      </c>
      <c r="X38" s="7" t="s">
        <v>57</v>
      </c>
      <c r="Y38" s="7" t="s">
        <v>57</v>
      </c>
      <c r="Z38" s="7" t="s">
        <v>30</v>
      </c>
      <c r="AA38" s="7" t="s">
        <v>30</v>
      </c>
      <c r="AB38" s="7" t="s">
        <v>30</v>
      </c>
      <c r="AC38" s="7" t="s">
        <v>30</v>
      </c>
      <c r="AD38" s="7" t="s">
        <v>30</v>
      </c>
      <c r="AE38" s="13" t="s">
        <v>150</v>
      </c>
      <c r="AF38" s="7" t="s">
        <v>57</v>
      </c>
      <c r="AG38" s="7" t="s">
        <v>57</v>
      </c>
      <c r="AH38" s="3" t="s">
        <v>148</v>
      </c>
      <c r="AI38" s="106" t="s">
        <v>30</v>
      </c>
      <c r="AJ38" s="25"/>
      <c r="AK38" s="19"/>
    </row>
    <row r="39" spans="2:37" customFormat="1" ht="20.100000000000001" customHeight="1" x14ac:dyDescent="0.15">
      <c r="B39" s="22">
        <f t="shared" si="0"/>
        <v>35</v>
      </c>
      <c r="C39" s="33">
        <v>2023</v>
      </c>
      <c r="D39" s="33" t="s">
        <v>191</v>
      </c>
      <c r="E39" s="3" t="s">
        <v>162</v>
      </c>
      <c r="F39" s="4" t="s">
        <v>163</v>
      </c>
      <c r="G39" s="46"/>
      <c r="H39" s="47" t="s">
        <v>68</v>
      </c>
      <c r="I39" s="46" t="s">
        <v>8</v>
      </c>
      <c r="J39" s="46"/>
      <c r="K39" s="52">
        <v>210000</v>
      </c>
      <c r="L39" s="54">
        <v>205500</v>
      </c>
      <c r="M39" s="73" t="s">
        <v>63</v>
      </c>
      <c r="N39" s="6" t="s">
        <v>29</v>
      </c>
      <c r="O39" s="4" t="s">
        <v>166</v>
      </c>
      <c r="P39" s="6" t="s">
        <v>30</v>
      </c>
      <c r="Q39" s="7" t="s">
        <v>30</v>
      </c>
      <c r="R39" s="7" t="s">
        <v>30</v>
      </c>
      <c r="S39" s="7" t="s">
        <v>57</v>
      </c>
      <c r="T39" s="7" t="s">
        <v>30</v>
      </c>
      <c r="U39" s="7" t="s">
        <v>30</v>
      </c>
      <c r="V39" s="7" t="s">
        <v>57</v>
      </c>
      <c r="W39" s="7" t="s">
        <v>30</v>
      </c>
      <c r="X39" s="7" t="s">
        <v>57</v>
      </c>
      <c r="Y39" s="7" t="s">
        <v>57</v>
      </c>
      <c r="Z39" s="7" t="s">
        <v>30</v>
      </c>
      <c r="AA39" s="7" t="s">
        <v>30</v>
      </c>
      <c r="AB39" s="7" t="s">
        <v>30</v>
      </c>
      <c r="AC39" s="7" t="s">
        <v>30</v>
      </c>
      <c r="AD39" s="7" t="s">
        <v>30</v>
      </c>
      <c r="AE39" s="13"/>
      <c r="AF39" s="7" t="s">
        <v>57</v>
      </c>
      <c r="AG39" s="7" t="s">
        <v>57</v>
      </c>
      <c r="AH39" s="3" t="s">
        <v>295</v>
      </c>
      <c r="AI39" s="108"/>
      <c r="AJ39" s="25"/>
      <c r="AK39" s="19"/>
    </row>
    <row r="40" spans="2:37" customFormat="1" ht="20.100000000000001" customHeight="1" x14ac:dyDescent="0.15">
      <c r="B40" s="22">
        <f t="shared" si="0"/>
        <v>36</v>
      </c>
      <c r="C40" s="33">
        <v>2023</v>
      </c>
      <c r="D40" s="33"/>
      <c r="E40" s="3" t="s">
        <v>170</v>
      </c>
      <c r="F40" s="4" t="s">
        <v>171</v>
      </c>
      <c r="G40" s="46"/>
      <c r="H40" s="35" t="s">
        <v>41</v>
      </c>
      <c r="I40" s="5" t="s">
        <v>8</v>
      </c>
      <c r="J40" s="46"/>
      <c r="K40" s="52"/>
      <c r="L40" s="54">
        <v>85000</v>
      </c>
      <c r="M40" s="73" t="s">
        <v>63</v>
      </c>
      <c r="N40" s="6" t="s">
        <v>209</v>
      </c>
      <c r="O40" s="4"/>
      <c r="P40" s="6" t="s">
        <v>57</v>
      </c>
      <c r="Q40" s="7" t="s">
        <v>57</v>
      </c>
      <c r="R40" s="7" t="s">
        <v>30</v>
      </c>
      <c r="S40" s="7" t="s">
        <v>57</v>
      </c>
      <c r="T40" s="7" t="s">
        <v>57</v>
      </c>
      <c r="U40" s="7" t="s">
        <v>57</v>
      </c>
      <c r="V40" s="7" t="s">
        <v>57</v>
      </c>
      <c r="W40" s="7" t="s">
        <v>57</v>
      </c>
      <c r="X40" s="7" t="s">
        <v>57</v>
      </c>
      <c r="Y40" s="7" t="s">
        <v>57</v>
      </c>
      <c r="Z40" s="7" t="s">
        <v>57</v>
      </c>
      <c r="AA40" s="7" t="s">
        <v>57</v>
      </c>
      <c r="AB40" s="7" t="s">
        <v>57</v>
      </c>
      <c r="AC40" s="7" t="s">
        <v>57</v>
      </c>
      <c r="AD40" s="7" t="s">
        <v>30</v>
      </c>
      <c r="AE40" s="13" t="s">
        <v>271</v>
      </c>
      <c r="AF40" s="7" t="s">
        <v>57</v>
      </c>
      <c r="AG40" s="7" t="s">
        <v>57</v>
      </c>
      <c r="AH40" s="3" t="s">
        <v>270</v>
      </c>
      <c r="AI40" s="106"/>
      <c r="AJ40" s="25"/>
      <c r="AK40" s="19"/>
    </row>
    <row r="41" spans="2:37" customFormat="1" ht="20.100000000000001" customHeight="1" x14ac:dyDescent="0.15">
      <c r="B41" s="22">
        <f t="shared" si="0"/>
        <v>37</v>
      </c>
      <c r="C41" s="80">
        <v>2024</v>
      </c>
      <c r="D41" s="33">
        <v>2024.1</v>
      </c>
      <c r="E41" s="97" t="s">
        <v>317</v>
      </c>
      <c r="F41" s="4" t="s">
        <v>195</v>
      </c>
      <c r="G41" s="46" t="s">
        <v>211</v>
      </c>
      <c r="H41" s="35" t="s">
        <v>41</v>
      </c>
      <c r="I41" s="83" t="s">
        <v>168</v>
      </c>
      <c r="J41" s="46"/>
      <c r="K41" s="52">
        <v>35000</v>
      </c>
      <c r="L41" s="54">
        <v>32000</v>
      </c>
      <c r="M41" s="73" t="s">
        <v>63</v>
      </c>
      <c r="N41" s="6" t="s">
        <v>194</v>
      </c>
      <c r="O41" s="4" t="s">
        <v>204</v>
      </c>
      <c r="P41" s="6" t="s">
        <v>30</v>
      </c>
      <c r="Q41" s="7" t="s">
        <v>30</v>
      </c>
      <c r="R41" s="7" t="s">
        <v>57</v>
      </c>
      <c r="S41" s="7" t="s">
        <v>30</v>
      </c>
      <c r="T41" s="7" t="s">
        <v>30</v>
      </c>
      <c r="U41" s="7" t="s">
        <v>30</v>
      </c>
      <c r="V41" s="7" t="s">
        <v>30</v>
      </c>
      <c r="W41" s="7" t="s">
        <v>57</v>
      </c>
      <c r="X41" s="7" t="s">
        <v>57</v>
      </c>
      <c r="Y41" s="7" t="s">
        <v>57</v>
      </c>
      <c r="Z41" s="7" t="s">
        <v>30</v>
      </c>
      <c r="AA41" s="7" t="s">
        <v>30</v>
      </c>
      <c r="AB41" s="7" t="s">
        <v>30</v>
      </c>
      <c r="AC41" s="7" t="s">
        <v>30</v>
      </c>
      <c r="AD41" s="7" t="s">
        <v>30</v>
      </c>
      <c r="AE41" s="13" t="s">
        <v>350</v>
      </c>
      <c r="AF41" s="7" t="s">
        <v>57</v>
      </c>
      <c r="AG41" s="7" t="s">
        <v>57</v>
      </c>
      <c r="AH41" s="3" t="s">
        <v>349</v>
      </c>
      <c r="AI41" s="108"/>
      <c r="AJ41" s="25"/>
      <c r="AK41" s="19"/>
    </row>
    <row r="42" spans="2:37" customFormat="1" ht="20.100000000000001" customHeight="1" x14ac:dyDescent="0.15">
      <c r="B42" s="22">
        <f t="shared" si="0"/>
        <v>38</v>
      </c>
      <c r="C42" s="80">
        <v>2024</v>
      </c>
      <c r="D42" s="76">
        <v>2024.1</v>
      </c>
      <c r="E42" s="97" t="s">
        <v>274</v>
      </c>
      <c r="F42" s="4" t="s">
        <v>196</v>
      </c>
      <c r="G42" s="46" t="s">
        <v>211</v>
      </c>
      <c r="H42" s="35" t="s">
        <v>41</v>
      </c>
      <c r="I42" s="83" t="s">
        <v>8</v>
      </c>
      <c r="J42" s="46">
        <v>2024.5</v>
      </c>
      <c r="K42" s="52"/>
      <c r="L42" s="54">
        <v>16520.849999999999</v>
      </c>
      <c r="M42" s="73" t="s">
        <v>63</v>
      </c>
      <c r="N42" s="6" t="s">
        <v>29</v>
      </c>
      <c r="O42" s="4" t="s">
        <v>225</v>
      </c>
      <c r="P42" s="6" t="s">
        <v>57</v>
      </c>
      <c r="Q42" s="7" t="s">
        <v>57</v>
      </c>
      <c r="R42" s="7" t="s">
        <v>30</v>
      </c>
      <c r="S42" s="7" t="s">
        <v>57</v>
      </c>
      <c r="T42" s="7" t="s">
        <v>57</v>
      </c>
      <c r="U42" s="7" t="s">
        <v>57</v>
      </c>
      <c r="V42" s="7" t="s">
        <v>30</v>
      </c>
      <c r="W42" s="7" t="s">
        <v>57</v>
      </c>
      <c r="X42" s="7" t="s">
        <v>57</v>
      </c>
      <c r="Y42" s="7" t="s">
        <v>57</v>
      </c>
      <c r="Z42" s="109" t="s">
        <v>57</v>
      </c>
      <c r="AA42" s="109" t="s">
        <v>30</v>
      </c>
      <c r="AB42" s="109" t="s">
        <v>30</v>
      </c>
      <c r="AC42" s="109" t="s">
        <v>30</v>
      </c>
      <c r="AD42" s="109" t="s">
        <v>57</v>
      </c>
      <c r="AE42" s="109" t="s">
        <v>57</v>
      </c>
      <c r="AF42" s="7" t="s">
        <v>57</v>
      </c>
      <c r="AG42" s="7" t="s">
        <v>57</v>
      </c>
      <c r="AH42" s="3" t="s">
        <v>275</v>
      </c>
      <c r="AI42" s="108"/>
      <c r="AJ42" s="25"/>
      <c r="AK42" s="19"/>
    </row>
    <row r="43" spans="2:37" ht="20.100000000000001" customHeight="1" x14ac:dyDescent="0.15">
      <c r="B43" s="22">
        <f t="shared" si="0"/>
        <v>39</v>
      </c>
      <c r="C43" s="80" t="s">
        <v>213</v>
      </c>
      <c r="D43" s="124">
        <v>2023.12</v>
      </c>
      <c r="E43" s="97" t="s">
        <v>193</v>
      </c>
      <c r="F43" s="4" t="s">
        <v>244</v>
      </c>
      <c r="G43" s="46" t="s">
        <v>211</v>
      </c>
      <c r="H43" s="47" t="s">
        <v>41</v>
      </c>
      <c r="I43" s="83" t="s">
        <v>215</v>
      </c>
      <c r="J43" s="46"/>
      <c r="K43" s="52"/>
      <c r="L43" s="54">
        <v>60000</v>
      </c>
      <c r="M43" s="125" t="s">
        <v>103</v>
      </c>
      <c r="N43" s="6" t="s">
        <v>194</v>
      </c>
      <c r="O43" s="46" t="s">
        <v>248</v>
      </c>
      <c r="P43" s="6" t="s">
        <v>57</v>
      </c>
      <c r="Q43" s="125" t="s">
        <v>57</v>
      </c>
      <c r="R43" s="125" t="s">
        <v>30</v>
      </c>
      <c r="S43" s="125" t="s">
        <v>57</v>
      </c>
      <c r="T43" s="125" t="s">
        <v>57</v>
      </c>
      <c r="U43" s="125" t="s">
        <v>57</v>
      </c>
      <c r="V43" s="125" t="s">
        <v>30</v>
      </c>
      <c r="W43" s="125"/>
      <c r="X43" s="125"/>
      <c r="Y43" s="7"/>
      <c r="Z43" s="125"/>
      <c r="AA43" s="125"/>
      <c r="AB43" s="125"/>
      <c r="AC43" s="125"/>
      <c r="AD43" s="125"/>
      <c r="AE43" s="13"/>
      <c r="AF43" s="125"/>
      <c r="AG43" s="125"/>
      <c r="AH43" s="3"/>
      <c r="AI43" s="123"/>
      <c r="AJ43" s="23"/>
      <c r="AK43" s="17"/>
    </row>
    <row r="44" spans="2:37" customFormat="1" ht="20.100000000000001" customHeight="1" x14ac:dyDescent="0.15">
      <c r="B44" s="22">
        <f t="shared" si="0"/>
        <v>40</v>
      </c>
      <c r="C44" s="80">
        <v>2024</v>
      </c>
      <c r="D44" s="76">
        <v>2024.1</v>
      </c>
      <c r="E44" s="96" t="s">
        <v>268</v>
      </c>
      <c r="F44" s="4" t="s">
        <v>197</v>
      </c>
      <c r="G44" s="46" t="s">
        <v>211</v>
      </c>
      <c r="H44" s="35" t="s">
        <v>41</v>
      </c>
      <c r="I44" s="83" t="s">
        <v>8</v>
      </c>
      <c r="J44" s="46">
        <v>2024.5</v>
      </c>
      <c r="K44" s="52"/>
      <c r="L44" s="54">
        <v>9433.1370000000006</v>
      </c>
      <c r="M44" s="73" t="s">
        <v>63</v>
      </c>
      <c r="N44" s="6" t="s">
        <v>29</v>
      </c>
      <c r="O44" s="4" t="s">
        <v>226</v>
      </c>
      <c r="P44" s="6" t="s">
        <v>57</v>
      </c>
      <c r="Q44" s="7" t="s">
        <v>57</v>
      </c>
      <c r="R44" s="7" t="s">
        <v>30</v>
      </c>
      <c r="S44" s="7" t="s">
        <v>57</v>
      </c>
      <c r="T44" s="7" t="s">
        <v>57</v>
      </c>
      <c r="U44" s="7" t="s">
        <v>57</v>
      </c>
      <c r="V44" s="7" t="s">
        <v>30</v>
      </c>
      <c r="W44" s="7" t="s">
        <v>57</v>
      </c>
      <c r="X44" s="7" t="s">
        <v>57</v>
      </c>
      <c r="Y44" s="7" t="s">
        <v>57</v>
      </c>
      <c r="Z44" s="109" t="s">
        <v>57</v>
      </c>
      <c r="AA44" s="47" t="s">
        <v>30</v>
      </c>
      <c r="AB44" s="110" t="s">
        <v>30</v>
      </c>
      <c r="AC44" s="110" t="s">
        <v>30</v>
      </c>
      <c r="AD44" s="109" t="s">
        <v>57</v>
      </c>
      <c r="AE44" s="109" t="s">
        <v>57</v>
      </c>
      <c r="AF44" s="7" t="s">
        <v>57</v>
      </c>
      <c r="AG44" s="7" t="s">
        <v>57</v>
      </c>
      <c r="AH44" s="3" t="s">
        <v>241</v>
      </c>
      <c r="AI44" s="106"/>
      <c r="AJ44" s="25"/>
      <c r="AK44" s="19"/>
    </row>
    <row r="45" spans="2:37" customFormat="1" ht="20.100000000000001" customHeight="1" x14ac:dyDescent="0.15">
      <c r="B45" s="22">
        <f t="shared" si="0"/>
        <v>41</v>
      </c>
      <c r="C45" s="80">
        <v>2024</v>
      </c>
      <c r="D45" s="76">
        <v>2024.1</v>
      </c>
      <c r="E45" s="96" t="s">
        <v>236</v>
      </c>
      <c r="F45" s="4" t="s">
        <v>198</v>
      </c>
      <c r="G45" s="46" t="s">
        <v>211</v>
      </c>
      <c r="H45" s="35" t="s">
        <v>41</v>
      </c>
      <c r="I45" s="83" t="s">
        <v>8</v>
      </c>
      <c r="J45" s="46">
        <v>2024.5</v>
      </c>
      <c r="K45" s="52"/>
      <c r="L45" s="54">
        <v>2520.1</v>
      </c>
      <c r="M45" s="73" t="s">
        <v>63</v>
      </c>
      <c r="N45" s="6" t="s">
        <v>29</v>
      </c>
      <c r="O45" s="4" t="s">
        <v>227</v>
      </c>
      <c r="P45" s="6" t="s">
        <v>57</v>
      </c>
      <c r="Q45" s="7" t="s">
        <v>57</v>
      </c>
      <c r="R45" s="7" t="s">
        <v>30</v>
      </c>
      <c r="S45" s="7" t="s">
        <v>57</v>
      </c>
      <c r="T45" s="7" t="s">
        <v>57</v>
      </c>
      <c r="U45" s="7" t="s">
        <v>57</v>
      </c>
      <c r="V45" s="7" t="s">
        <v>30</v>
      </c>
      <c r="W45" s="7" t="s">
        <v>57</v>
      </c>
      <c r="X45" s="7" t="s">
        <v>57</v>
      </c>
      <c r="Y45" s="7" t="s">
        <v>57</v>
      </c>
      <c r="Z45" s="7" t="s">
        <v>30</v>
      </c>
      <c r="AA45" s="7" t="s">
        <v>57</v>
      </c>
      <c r="AB45" s="7" t="s">
        <v>30</v>
      </c>
      <c r="AC45" s="7" t="s">
        <v>30</v>
      </c>
      <c r="AD45" s="7" t="s">
        <v>30</v>
      </c>
      <c r="AE45" s="13" t="s">
        <v>234</v>
      </c>
      <c r="AF45" s="7" t="s">
        <v>57</v>
      </c>
      <c r="AG45" s="7" t="s">
        <v>57</v>
      </c>
      <c r="AH45" s="3" t="s">
        <v>247</v>
      </c>
      <c r="AI45" s="106"/>
      <c r="AJ45" s="25"/>
      <c r="AK45" s="19"/>
    </row>
    <row r="46" spans="2:37" customFormat="1" ht="20.100000000000001" customHeight="1" x14ac:dyDescent="0.15">
      <c r="B46" s="22">
        <f t="shared" si="0"/>
        <v>42</v>
      </c>
      <c r="C46" s="80">
        <v>2024</v>
      </c>
      <c r="D46" s="76">
        <v>2024.1</v>
      </c>
      <c r="E46" s="97" t="s">
        <v>276</v>
      </c>
      <c r="F46" s="4" t="s">
        <v>277</v>
      </c>
      <c r="G46" s="46" t="s">
        <v>211</v>
      </c>
      <c r="H46" s="35" t="s">
        <v>41</v>
      </c>
      <c r="I46" s="83" t="s">
        <v>8</v>
      </c>
      <c r="J46" s="46">
        <v>2024.5</v>
      </c>
      <c r="K46" s="52"/>
      <c r="L46" s="54">
        <v>37230.730000000003</v>
      </c>
      <c r="M46" s="73" t="s">
        <v>63</v>
      </c>
      <c r="N46" s="6" t="s">
        <v>29</v>
      </c>
      <c r="O46" s="4" t="s">
        <v>230</v>
      </c>
      <c r="P46" s="6" t="s">
        <v>57</v>
      </c>
      <c r="Q46" s="7" t="s">
        <v>57</v>
      </c>
      <c r="R46" s="7" t="s">
        <v>30</v>
      </c>
      <c r="S46" s="7" t="s">
        <v>57</v>
      </c>
      <c r="T46" s="7" t="s">
        <v>57</v>
      </c>
      <c r="U46" s="7" t="s">
        <v>57</v>
      </c>
      <c r="V46" s="7" t="s">
        <v>30</v>
      </c>
      <c r="W46" s="7" t="s">
        <v>57</v>
      </c>
      <c r="X46" s="7" t="s">
        <v>30</v>
      </c>
      <c r="Y46" s="7" t="s">
        <v>57</v>
      </c>
      <c r="Z46" s="7" t="s">
        <v>30</v>
      </c>
      <c r="AA46" s="7" t="s">
        <v>30</v>
      </c>
      <c r="AB46" s="109" t="s">
        <v>30</v>
      </c>
      <c r="AC46" s="109" t="s">
        <v>30</v>
      </c>
      <c r="AD46" s="7" t="s">
        <v>30</v>
      </c>
      <c r="AE46" s="13" t="s">
        <v>278</v>
      </c>
      <c r="AF46" s="7" t="s">
        <v>57</v>
      </c>
      <c r="AG46" s="7" t="s">
        <v>57</v>
      </c>
      <c r="AH46" s="3" t="s">
        <v>273</v>
      </c>
      <c r="AI46" s="106" t="s">
        <v>30</v>
      </c>
      <c r="AJ46" s="25"/>
      <c r="AK46" s="19"/>
    </row>
    <row r="47" spans="2:37" customFormat="1" ht="20.100000000000001" customHeight="1" x14ac:dyDescent="0.15">
      <c r="B47" s="22">
        <f t="shared" si="0"/>
        <v>43</v>
      </c>
      <c r="C47" s="80">
        <v>2024</v>
      </c>
      <c r="D47" s="76">
        <v>2024.1</v>
      </c>
      <c r="E47" s="97" t="s">
        <v>235</v>
      </c>
      <c r="F47" s="4" t="s">
        <v>199</v>
      </c>
      <c r="G47" s="46" t="s">
        <v>212</v>
      </c>
      <c r="H47" s="35" t="s">
        <v>41</v>
      </c>
      <c r="I47" s="83" t="s">
        <v>8</v>
      </c>
      <c r="J47" s="46">
        <v>2024.5</v>
      </c>
      <c r="K47" s="52">
        <v>25000</v>
      </c>
      <c r="L47" s="54">
        <v>23000</v>
      </c>
      <c r="M47" s="73" t="s">
        <v>63</v>
      </c>
      <c r="N47" s="6" t="s">
        <v>29</v>
      </c>
      <c r="O47" s="4" t="s">
        <v>228</v>
      </c>
      <c r="P47" s="6" t="s">
        <v>57</v>
      </c>
      <c r="Q47" s="7" t="s">
        <v>57</v>
      </c>
      <c r="R47" s="7" t="s">
        <v>30</v>
      </c>
      <c r="S47" s="7" t="s">
        <v>57</v>
      </c>
      <c r="T47" s="7" t="s">
        <v>57</v>
      </c>
      <c r="U47" s="7" t="s">
        <v>57</v>
      </c>
      <c r="V47" s="7" t="s">
        <v>57</v>
      </c>
      <c r="W47" s="7" t="s">
        <v>57</v>
      </c>
      <c r="X47" s="7" t="s">
        <v>57</v>
      </c>
      <c r="Y47" s="7" t="s">
        <v>57</v>
      </c>
      <c r="Z47" s="7" t="s">
        <v>30</v>
      </c>
      <c r="AA47" s="7" t="s">
        <v>57</v>
      </c>
      <c r="AB47" s="7" t="s">
        <v>30</v>
      </c>
      <c r="AC47" s="7" t="s">
        <v>30</v>
      </c>
      <c r="AD47" s="7" t="s">
        <v>30</v>
      </c>
      <c r="AE47" s="13" t="s">
        <v>233</v>
      </c>
      <c r="AF47" s="7" t="s">
        <v>57</v>
      </c>
      <c r="AG47" s="7" t="s">
        <v>57</v>
      </c>
      <c r="AH47" s="3" t="s">
        <v>246</v>
      </c>
      <c r="AI47" s="106"/>
      <c r="AJ47" s="25"/>
      <c r="AK47" s="19"/>
    </row>
    <row r="48" spans="2:37" customFormat="1" ht="20.100000000000001" customHeight="1" x14ac:dyDescent="0.15">
      <c r="B48" s="22">
        <f t="shared" si="0"/>
        <v>44</v>
      </c>
      <c r="C48" s="80">
        <v>2024</v>
      </c>
      <c r="D48" s="76">
        <v>2024.1</v>
      </c>
      <c r="E48" s="97" t="s">
        <v>239</v>
      </c>
      <c r="F48" s="4" t="s">
        <v>200</v>
      </c>
      <c r="G48" s="46" t="s">
        <v>211</v>
      </c>
      <c r="H48" s="35" t="s">
        <v>41</v>
      </c>
      <c r="I48" s="83" t="s">
        <v>8</v>
      </c>
      <c r="J48" s="46">
        <v>2024.5</v>
      </c>
      <c r="K48" s="52">
        <v>130000</v>
      </c>
      <c r="L48" s="54">
        <v>111050</v>
      </c>
      <c r="M48" s="73" t="s">
        <v>63</v>
      </c>
      <c r="N48" s="6" t="s">
        <v>29</v>
      </c>
      <c r="O48" s="4" t="s">
        <v>229</v>
      </c>
      <c r="P48" s="6" t="s">
        <v>30</v>
      </c>
      <c r="Q48" s="7" t="s">
        <v>57</v>
      </c>
      <c r="R48" s="7" t="s">
        <v>30</v>
      </c>
      <c r="S48" s="7" t="s">
        <v>57</v>
      </c>
      <c r="T48" s="7" t="s">
        <v>30</v>
      </c>
      <c r="U48" s="7" t="s">
        <v>30</v>
      </c>
      <c r="V48" s="7" t="s">
        <v>30</v>
      </c>
      <c r="W48" s="109" t="s">
        <v>57</v>
      </c>
      <c r="X48" s="109" t="s">
        <v>57</v>
      </c>
      <c r="Y48" s="109" t="s">
        <v>57</v>
      </c>
      <c r="Z48" s="109" t="s">
        <v>57</v>
      </c>
      <c r="AA48" s="110" t="s">
        <v>30</v>
      </c>
      <c r="AB48" s="110" t="s">
        <v>30</v>
      </c>
      <c r="AC48" s="110" t="s">
        <v>30</v>
      </c>
      <c r="AD48" s="109" t="s">
        <v>57</v>
      </c>
      <c r="AE48" s="109" t="s">
        <v>57</v>
      </c>
      <c r="AF48" s="7" t="s">
        <v>57</v>
      </c>
      <c r="AG48" s="7" t="s">
        <v>57</v>
      </c>
      <c r="AH48" s="113" t="s">
        <v>294</v>
      </c>
      <c r="AI48" s="108"/>
      <c r="AJ48" s="25"/>
      <c r="AK48" s="19"/>
    </row>
    <row r="49" spans="2:37" ht="20.100000000000001" customHeight="1" x14ac:dyDescent="0.15">
      <c r="B49" s="22">
        <f t="shared" si="0"/>
        <v>45</v>
      </c>
      <c r="C49" s="80">
        <v>2024</v>
      </c>
      <c r="D49" s="124">
        <v>2024.3</v>
      </c>
      <c r="E49" s="97" t="s">
        <v>327</v>
      </c>
      <c r="F49" s="4" t="s">
        <v>217</v>
      </c>
      <c r="G49" s="46" t="s">
        <v>207</v>
      </c>
      <c r="H49" s="47" t="s">
        <v>41</v>
      </c>
      <c r="I49" s="83" t="s">
        <v>55</v>
      </c>
      <c r="J49" s="46"/>
      <c r="K49" s="52">
        <v>250000</v>
      </c>
      <c r="L49" s="54">
        <v>250000</v>
      </c>
      <c r="M49" s="125" t="s">
        <v>103</v>
      </c>
      <c r="N49" s="6" t="s">
        <v>194</v>
      </c>
      <c r="O49" s="4" t="s">
        <v>337</v>
      </c>
      <c r="P49" s="6" t="s">
        <v>30</v>
      </c>
      <c r="Q49" s="125" t="s">
        <v>256</v>
      </c>
      <c r="R49" s="125" t="s">
        <v>30</v>
      </c>
      <c r="S49" s="125"/>
      <c r="T49" s="125" t="s">
        <v>30</v>
      </c>
      <c r="U49" s="125"/>
      <c r="V49" s="125"/>
      <c r="W49" s="125"/>
      <c r="X49" s="125"/>
      <c r="Y49" s="7"/>
      <c r="Z49" s="125"/>
      <c r="AA49" s="125"/>
      <c r="AB49" s="125"/>
      <c r="AC49" s="125"/>
      <c r="AD49" s="125"/>
      <c r="AE49" s="13"/>
      <c r="AF49" s="125"/>
      <c r="AG49" s="125"/>
      <c r="AH49" s="3"/>
      <c r="AI49" s="123"/>
      <c r="AJ49" s="23"/>
      <c r="AK49" s="17"/>
    </row>
    <row r="50" spans="2:37" ht="20.100000000000001" customHeight="1" x14ac:dyDescent="0.15">
      <c r="B50" s="22">
        <f t="shared" si="0"/>
        <v>46</v>
      </c>
      <c r="C50" s="80">
        <v>2024</v>
      </c>
      <c r="D50" s="124">
        <v>2024.3</v>
      </c>
      <c r="E50" s="97" t="s">
        <v>328</v>
      </c>
      <c r="F50" s="4" t="s">
        <v>201</v>
      </c>
      <c r="G50" s="46" t="s">
        <v>207</v>
      </c>
      <c r="H50" s="47" t="s">
        <v>41</v>
      </c>
      <c r="I50" s="83" t="s">
        <v>55</v>
      </c>
      <c r="J50" s="46"/>
      <c r="K50" s="52">
        <v>320000</v>
      </c>
      <c r="L50" s="54">
        <v>297000</v>
      </c>
      <c r="M50" s="125" t="s">
        <v>103</v>
      </c>
      <c r="N50" s="6" t="s">
        <v>194</v>
      </c>
      <c r="O50" s="4" t="s">
        <v>290</v>
      </c>
      <c r="P50" s="6" t="s">
        <v>30</v>
      </c>
      <c r="Q50" s="125" t="s">
        <v>30</v>
      </c>
      <c r="R50" s="125" t="s">
        <v>30</v>
      </c>
      <c r="S50" s="125" t="s">
        <v>30</v>
      </c>
      <c r="T50" s="125" t="s">
        <v>30</v>
      </c>
      <c r="U50" s="125" t="s">
        <v>30</v>
      </c>
      <c r="V50" s="125" t="s">
        <v>57</v>
      </c>
      <c r="W50" s="125"/>
      <c r="X50" s="125"/>
      <c r="Y50" s="7"/>
      <c r="Z50" s="125"/>
      <c r="AA50" s="125"/>
      <c r="AB50" s="125"/>
      <c r="AC50" s="125"/>
      <c r="AD50" s="125"/>
      <c r="AE50" s="13"/>
      <c r="AF50" s="125"/>
      <c r="AG50" s="125"/>
      <c r="AH50" s="3"/>
      <c r="AI50" s="123"/>
      <c r="AJ50" s="23"/>
      <c r="AK50" s="17"/>
    </row>
    <row r="51" spans="2:37" ht="20.100000000000001" customHeight="1" x14ac:dyDescent="0.15">
      <c r="B51" s="22">
        <f t="shared" si="0"/>
        <v>47</v>
      </c>
      <c r="C51" s="80">
        <v>2024</v>
      </c>
      <c r="D51" s="124">
        <v>2024.3</v>
      </c>
      <c r="E51" s="97" t="s">
        <v>330</v>
      </c>
      <c r="F51" s="4" t="s">
        <v>218</v>
      </c>
      <c r="G51" s="46" t="s">
        <v>207</v>
      </c>
      <c r="H51" s="47" t="s">
        <v>41</v>
      </c>
      <c r="I51" s="83" t="s">
        <v>8</v>
      </c>
      <c r="J51" s="46"/>
      <c r="K51" s="52">
        <v>185000</v>
      </c>
      <c r="L51" s="54">
        <v>182000</v>
      </c>
      <c r="M51" s="125" t="s">
        <v>63</v>
      </c>
      <c r="N51" s="6" t="s">
        <v>194</v>
      </c>
      <c r="O51" s="41" t="s">
        <v>299</v>
      </c>
      <c r="P51" s="6" t="s">
        <v>30</v>
      </c>
      <c r="Q51" s="125" t="s">
        <v>30</v>
      </c>
      <c r="R51" s="125" t="s">
        <v>30</v>
      </c>
      <c r="S51" s="125" t="s">
        <v>30</v>
      </c>
      <c r="T51" s="125" t="s">
        <v>30</v>
      </c>
      <c r="U51" s="125" t="s">
        <v>30</v>
      </c>
      <c r="V51" s="125" t="s">
        <v>57</v>
      </c>
      <c r="W51" s="125" t="s">
        <v>30</v>
      </c>
      <c r="X51" s="125" t="s">
        <v>30</v>
      </c>
      <c r="Y51" s="7"/>
      <c r="Z51" s="125" t="s">
        <v>30</v>
      </c>
      <c r="AA51" s="125" t="s">
        <v>30</v>
      </c>
      <c r="AB51" s="125" t="s">
        <v>30</v>
      </c>
      <c r="AC51" s="125" t="s">
        <v>30</v>
      </c>
      <c r="AD51" s="125" t="s">
        <v>30</v>
      </c>
      <c r="AE51" s="13" t="s">
        <v>391</v>
      </c>
      <c r="AF51" s="125" t="s">
        <v>57</v>
      </c>
      <c r="AG51" s="125" t="s">
        <v>57</v>
      </c>
      <c r="AH51" s="3" t="s">
        <v>390</v>
      </c>
      <c r="AI51" s="123" t="s">
        <v>30</v>
      </c>
      <c r="AJ51" s="23"/>
      <c r="AK51" s="17"/>
    </row>
    <row r="52" spans="2:37" customFormat="1" ht="20.100000000000001" customHeight="1" x14ac:dyDescent="0.15">
      <c r="B52" s="22">
        <f t="shared" si="0"/>
        <v>48</v>
      </c>
      <c r="C52" s="80">
        <v>2024</v>
      </c>
      <c r="D52" s="76">
        <v>2024.3</v>
      </c>
      <c r="E52" s="96" t="s">
        <v>238</v>
      </c>
      <c r="F52" s="4" t="s">
        <v>219</v>
      </c>
      <c r="G52" s="85" t="s">
        <v>207</v>
      </c>
      <c r="H52" s="35" t="s">
        <v>41</v>
      </c>
      <c r="I52" s="5" t="s">
        <v>67</v>
      </c>
      <c r="J52" s="46"/>
      <c r="K52" s="52"/>
      <c r="L52" s="54"/>
      <c r="M52" s="73" t="s">
        <v>86</v>
      </c>
      <c r="N52" s="7" t="s">
        <v>203</v>
      </c>
      <c r="O52" s="4"/>
      <c r="P52" s="6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13"/>
      <c r="AF52" s="7"/>
      <c r="AG52" s="7"/>
      <c r="AH52" s="9"/>
      <c r="AI52" s="105"/>
      <c r="AJ52" s="25"/>
      <c r="AK52" s="19"/>
    </row>
    <row r="53" spans="2:37" ht="20.100000000000001" customHeight="1" x14ac:dyDescent="0.15">
      <c r="B53" s="22">
        <f t="shared" si="0"/>
        <v>49</v>
      </c>
      <c r="C53" s="80">
        <v>2024</v>
      </c>
      <c r="D53" s="124">
        <v>2024.3</v>
      </c>
      <c r="E53" s="97" t="s">
        <v>329</v>
      </c>
      <c r="F53" s="4" t="s">
        <v>223</v>
      </c>
      <c r="G53" s="125" t="s">
        <v>207</v>
      </c>
      <c r="H53" s="47" t="s">
        <v>41</v>
      </c>
      <c r="I53" s="83" t="s">
        <v>55</v>
      </c>
      <c r="J53" s="46"/>
      <c r="K53" s="52">
        <v>170000</v>
      </c>
      <c r="L53" s="54">
        <v>166178</v>
      </c>
      <c r="M53" s="125" t="s">
        <v>103</v>
      </c>
      <c r="N53" s="6" t="s">
        <v>28</v>
      </c>
      <c r="O53" s="41" t="s">
        <v>291</v>
      </c>
      <c r="P53" s="6" t="s">
        <v>30</v>
      </c>
      <c r="Q53" s="125" t="s">
        <v>30</v>
      </c>
      <c r="R53" s="125" t="s">
        <v>30</v>
      </c>
      <c r="S53" s="125" t="s">
        <v>57</v>
      </c>
      <c r="T53" s="125" t="s">
        <v>30</v>
      </c>
      <c r="U53" s="125" t="s">
        <v>30</v>
      </c>
      <c r="V53" s="125" t="s">
        <v>30</v>
      </c>
      <c r="W53" s="125"/>
      <c r="X53" s="125"/>
      <c r="Y53" s="7"/>
      <c r="Z53" s="125"/>
      <c r="AA53" s="125"/>
      <c r="AB53" s="125"/>
      <c r="AC53" s="125"/>
      <c r="AD53" s="125"/>
      <c r="AE53" s="13"/>
      <c r="AF53" s="125"/>
      <c r="AG53" s="125"/>
      <c r="AH53" s="3"/>
      <c r="AI53" s="123"/>
      <c r="AJ53" s="23"/>
      <c r="AK53" s="17"/>
    </row>
    <row r="54" spans="2:37" ht="20.100000000000001" customHeight="1" x14ac:dyDescent="0.15">
      <c r="B54" s="22">
        <f t="shared" si="0"/>
        <v>50</v>
      </c>
      <c r="C54" s="80">
        <v>2024</v>
      </c>
      <c r="D54" s="124">
        <v>2024.3</v>
      </c>
      <c r="E54" s="97" t="s">
        <v>307</v>
      </c>
      <c r="F54" s="4" t="s">
        <v>224</v>
      </c>
      <c r="G54" s="125" t="s">
        <v>207</v>
      </c>
      <c r="H54" s="47" t="s">
        <v>68</v>
      </c>
      <c r="I54" s="83" t="s">
        <v>215</v>
      </c>
      <c r="J54" s="46"/>
      <c r="K54" s="52">
        <v>430000</v>
      </c>
      <c r="L54" s="54">
        <v>380000</v>
      </c>
      <c r="M54" s="125" t="s">
        <v>103</v>
      </c>
      <c r="N54" s="6" t="s">
        <v>28</v>
      </c>
      <c r="O54" s="4" t="s">
        <v>269</v>
      </c>
      <c r="P54" s="6" t="s">
        <v>30</v>
      </c>
      <c r="Q54" s="125" t="s">
        <v>57</v>
      </c>
      <c r="R54" s="125" t="s">
        <v>30</v>
      </c>
      <c r="S54" s="125" t="s">
        <v>57</v>
      </c>
      <c r="T54" s="125" t="s">
        <v>30</v>
      </c>
      <c r="U54" s="125" t="s">
        <v>30</v>
      </c>
      <c r="V54" s="125" t="s">
        <v>57</v>
      </c>
      <c r="W54" s="125"/>
      <c r="X54" s="125"/>
      <c r="Y54" s="73"/>
      <c r="Z54" s="125"/>
      <c r="AA54" s="125"/>
      <c r="AB54" s="125"/>
      <c r="AC54" s="125"/>
      <c r="AD54" s="125"/>
      <c r="AE54" s="13"/>
      <c r="AF54" s="125"/>
      <c r="AG54" s="125"/>
      <c r="AH54" s="3"/>
      <c r="AI54" s="123"/>
      <c r="AJ54" s="23"/>
      <c r="AK54" s="17"/>
    </row>
    <row r="55" spans="2:37" customFormat="1" ht="20.100000000000001" customHeight="1" x14ac:dyDescent="0.15">
      <c r="B55" s="22">
        <f t="shared" si="0"/>
        <v>51</v>
      </c>
      <c r="C55" s="74">
        <v>2024</v>
      </c>
      <c r="D55" s="95">
        <v>2024.3</v>
      </c>
      <c r="E55" s="97" t="s">
        <v>257</v>
      </c>
      <c r="F55" s="4" t="s">
        <v>220</v>
      </c>
      <c r="G55" s="85" t="s">
        <v>207</v>
      </c>
      <c r="H55" s="47" t="s">
        <v>41</v>
      </c>
      <c r="I55" s="46" t="s">
        <v>67</v>
      </c>
      <c r="J55" s="46"/>
      <c r="K55" s="52"/>
      <c r="L55" s="54"/>
      <c r="M55" s="73" t="s">
        <v>86</v>
      </c>
      <c r="N55" s="73" t="s">
        <v>210</v>
      </c>
      <c r="O55" s="4"/>
      <c r="P55" s="6"/>
      <c r="Q55" s="73"/>
      <c r="R55" s="73"/>
      <c r="S55" s="73"/>
      <c r="T55" s="73"/>
      <c r="U55" s="73"/>
      <c r="V55" s="73"/>
      <c r="W55" s="73"/>
      <c r="X55" s="73"/>
      <c r="Y55" s="73"/>
      <c r="Z55" s="73"/>
      <c r="AA55" s="73"/>
      <c r="AB55" s="73"/>
      <c r="AC55" s="73"/>
      <c r="AD55" s="73"/>
      <c r="AE55" s="13"/>
      <c r="AF55" s="73"/>
      <c r="AG55" s="73"/>
      <c r="AH55" s="9"/>
      <c r="AI55" s="105"/>
      <c r="AJ55" s="25"/>
      <c r="AK55" s="19"/>
    </row>
    <row r="56" spans="2:37" ht="20.100000000000001" customHeight="1" x14ac:dyDescent="0.15">
      <c r="B56" s="22">
        <f t="shared" si="0"/>
        <v>52</v>
      </c>
      <c r="C56" s="80">
        <v>2024</v>
      </c>
      <c r="D56" s="124">
        <v>2024.4</v>
      </c>
      <c r="E56" s="97" t="s">
        <v>250</v>
      </c>
      <c r="F56" s="4" t="s">
        <v>221</v>
      </c>
      <c r="G56" s="125" t="s">
        <v>207</v>
      </c>
      <c r="H56" s="47" t="s">
        <v>41</v>
      </c>
      <c r="I56" s="83" t="s">
        <v>215</v>
      </c>
      <c r="J56" s="46"/>
      <c r="K56" s="54">
        <v>303500</v>
      </c>
      <c r="L56" s="54">
        <v>290000</v>
      </c>
      <c r="M56" s="125" t="s">
        <v>103</v>
      </c>
      <c r="N56" s="6" t="s">
        <v>29</v>
      </c>
      <c r="O56" s="4" t="s">
        <v>282</v>
      </c>
      <c r="P56" s="6" t="s">
        <v>57</v>
      </c>
      <c r="Q56" s="125" t="s">
        <v>57</v>
      </c>
      <c r="R56" s="125" t="s">
        <v>30</v>
      </c>
      <c r="S56" s="125" t="s">
        <v>57</v>
      </c>
      <c r="T56" s="125" t="s">
        <v>30</v>
      </c>
      <c r="U56" s="125" t="s">
        <v>30</v>
      </c>
      <c r="V56" s="125" t="s">
        <v>57</v>
      </c>
      <c r="W56" s="125" t="s">
        <v>30</v>
      </c>
      <c r="X56" s="125"/>
      <c r="Y56" s="73"/>
      <c r="Z56" s="125"/>
      <c r="AA56" s="125"/>
      <c r="AB56" s="125"/>
      <c r="AC56" s="125"/>
      <c r="AD56" s="125"/>
      <c r="AE56" s="13"/>
      <c r="AF56" s="125"/>
      <c r="AG56" s="125"/>
      <c r="AH56" s="3"/>
      <c r="AI56" s="123"/>
      <c r="AJ56" s="23"/>
      <c r="AK56" s="17"/>
    </row>
    <row r="57" spans="2:37" customFormat="1" ht="20.100000000000001" customHeight="1" x14ac:dyDescent="0.15">
      <c r="B57" s="22">
        <f t="shared" si="0"/>
        <v>53</v>
      </c>
      <c r="C57" s="80">
        <v>2024</v>
      </c>
      <c r="D57" s="84">
        <v>2024.4</v>
      </c>
      <c r="E57" s="97" t="s">
        <v>240</v>
      </c>
      <c r="F57" s="4" t="s">
        <v>222</v>
      </c>
      <c r="G57" s="85" t="s">
        <v>207</v>
      </c>
      <c r="H57" s="47" t="s">
        <v>41</v>
      </c>
      <c r="I57" s="83" t="s">
        <v>67</v>
      </c>
      <c r="J57" s="46"/>
      <c r="K57" s="52"/>
      <c r="L57" s="54"/>
      <c r="M57" s="73" t="s">
        <v>86</v>
      </c>
      <c r="N57" s="6" t="s">
        <v>29</v>
      </c>
      <c r="O57" s="4"/>
      <c r="P57" s="6"/>
      <c r="Q57" s="73"/>
      <c r="R57" s="73"/>
      <c r="S57" s="73"/>
      <c r="T57" s="73"/>
      <c r="U57" s="73"/>
      <c r="V57" s="73"/>
      <c r="W57" s="73"/>
      <c r="X57" s="73"/>
      <c r="Y57" s="73"/>
      <c r="Z57" s="73"/>
      <c r="AA57" s="73"/>
      <c r="AB57" s="73"/>
      <c r="AC57" s="73"/>
      <c r="AD57" s="73"/>
      <c r="AE57" s="13"/>
      <c r="AF57" s="73"/>
      <c r="AG57" s="73"/>
      <c r="AH57" s="9"/>
      <c r="AI57" s="105"/>
      <c r="AJ57" s="25"/>
      <c r="AK57" s="19"/>
    </row>
    <row r="58" spans="2:37" customFormat="1" ht="20.100000000000001" customHeight="1" x14ac:dyDescent="0.15">
      <c r="B58" s="22">
        <f t="shared" si="0"/>
        <v>54</v>
      </c>
      <c r="C58" s="80">
        <v>2024</v>
      </c>
      <c r="D58" s="84">
        <v>2024.1</v>
      </c>
      <c r="E58" s="97" t="s">
        <v>259</v>
      </c>
      <c r="F58" s="4" t="s">
        <v>260</v>
      </c>
      <c r="G58" s="85" t="s">
        <v>207</v>
      </c>
      <c r="H58" s="47" t="s">
        <v>56</v>
      </c>
      <c r="I58" s="83" t="s">
        <v>8</v>
      </c>
      <c r="J58" s="46"/>
      <c r="K58" s="52"/>
      <c r="L58" s="51">
        <v>86185.1</v>
      </c>
      <c r="M58" s="73" t="s">
        <v>63</v>
      </c>
      <c r="N58" s="6" t="s">
        <v>29</v>
      </c>
      <c r="O58" s="4" t="s">
        <v>283</v>
      </c>
      <c r="P58" s="6" t="s">
        <v>208</v>
      </c>
      <c r="Q58" s="73" t="s">
        <v>208</v>
      </c>
      <c r="R58" s="73" t="s">
        <v>30</v>
      </c>
      <c r="S58" s="73" t="s">
        <v>208</v>
      </c>
      <c r="T58" s="73" t="s">
        <v>57</v>
      </c>
      <c r="U58" s="73" t="s">
        <v>57</v>
      </c>
      <c r="V58" s="73" t="s">
        <v>57</v>
      </c>
      <c r="W58" s="73" t="s">
        <v>30</v>
      </c>
      <c r="X58" s="73" t="s">
        <v>30</v>
      </c>
      <c r="Y58" s="73" t="s">
        <v>57</v>
      </c>
      <c r="Z58" s="73" t="s">
        <v>30</v>
      </c>
      <c r="AA58" s="73" t="s">
        <v>30</v>
      </c>
      <c r="AB58" s="73" t="s">
        <v>30</v>
      </c>
      <c r="AC58" s="73" t="s">
        <v>30</v>
      </c>
      <c r="AD58" s="73" t="s">
        <v>30</v>
      </c>
      <c r="AE58" s="13" t="s">
        <v>339</v>
      </c>
      <c r="AF58" s="73" t="s">
        <v>57</v>
      </c>
      <c r="AG58" s="73" t="s">
        <v>57</v>
      </c>
      <c r="AH58" s="3" t="s">
        <v>332</v>
      </c>
      <c r="AI58" s="108" t="s">
        <v>30</v>
      </c>
      <c r="AJ58" s="25"/>
      <c r="AK58" s="19"/>
    </row>
    <row r="59" spans="2:37" customFormat="1" ht="20.100000000000001" customHeight="1" x14ac:dyDescent="0.15">
      <c r="B59" s="22">
        <f t="shared" si="0"/>
        <v>55</v>
      </c>
      <c r="C59" s="98">
        <v>2024</v>
      </c>
      <c r="D59" s="98">
        <v>2024.1</v>
      </c>
      <c r="E59" s="97" t="s">
        <v>308</v>
      </c>
      <c r="F59" s="4" t="s">
        <v>284</v>
      </c>
      <c r="G59" s="99" t="s">
        <v>207</v>
      </c>
      <c r="H59" s="47" t="s">
        <v>68</v>
      </c>
      <c r="I59" s="46" t="s">
        <v>8</v>
      </c>
      <c r="J59" s="46">
        <v>2024.7</v>
      </c>
      <c r="K59" s="52">
        <v>268000</v>
      </c>
      <c r="L59" s="54">
        <v>260000</v>
      </c>
      <c r="M59" s="99" t="s">
        <v>63</v>
      </c>
      <c r="N59" s="99" t="s">
        <v>131</v>
      </c>
      <c r="O59" s="4" t="s">
        <v>285</v>
      </c>
      <c r="P59" s="6" t="s">
        <v>57</v>
      </c>
      <c r="Q59" s="99" t="s">
        <v>57</v>
      </c>
      <c r="R59" s="99" t="s">
        <v>57</v>
      </c>
      <c r="S59" s="99" t="s">
        <v>57</v>
      </c>
      <c r="T59" s="99" t="s">
        <v>30</v>
      </c>
      <c r="U59" s="99" t="s">
        <v>30</v>
      </c>
      <c r="V59" s="99" t="s">
        <v>57</v>
      </c>
      <c r="W59" s="99" t="s">
        <v>57</v>
      </c>
      <c r="X59" s="99" t="s">
        <v>57</v>
      </c>
      <c r="Y59" s="99" t="s">
        <v>57</v>
      </c>
      <c r="Z59" s="99" t="s">
        <v>30</v>
      </c>
      <c r="AA59" s="99" t="s">
        <v>30</v>
      </c>
      <c r="AB59" s="99" t="s">
        <v>30</v>
      </c>
      <c r="AC59" s="99" t="s">
        <v>30</v>
      </c>
      <c r="AD59" s="99" t="s">
        <v>30</v>
      </c>
      <c r="AE59" s="13" t="s">
        <v>287</v>
      </c>
      <c r="AF59" s="99" t="s">
        <v>57</v>
      </c>
      <c r="AG59" s="99" t="s">
        <v>57</v>
      </c>
      <c r="AH59" s="97" t="s">
        <v>286</v>
      </c>
      <c r="AI59" s="108" t="s">
        <v>30</v>
      </c>
      <c r="AJ59" s="25"/>
      <c r="AK59" s="19"/>
    </row>
    <row r="60" spans="2:37" ht="20.100000000000001" customHeight="1" x14ac:dyDescent="0.15">
      <c r="B60" s="22">
        <f t="shared" si="0"/>
        <v>56</v>
      </c>
      <c r="C60" s="124">
        <v>2024</v>
      </c>
      <c r="D60" s="124">
        <v>2024.4</v>
      </c>
      <c r="E60" s="97" t="s">
        <v>331</v>
      </c>
      <c r="F60" s="4" t="s">
        <v>261</v>
      </c>
      <c r="G60" s="125" t="s">
        <v>207</v>
      </c>
      <c r="H60" s="47" t="s">
        <v>41</v>
      </c>
      <c r="I60" s="83" t="s">
        <v>106</v>
      </c>
      <c r="J60" s="46"/>
      <c r="K60" s="52">
        <v>90000</v>
      </c>
      <c r="L60" s="54">
        <v>88000</v>
      </c>
      <c r="M60" s="125" t="s">
        <v>103</v>
      </c>
      <c r="N60" s="125" t="s">
        <v>28</v>
      </c>
      <c r="O60" s="4" t="s">
        <v>279</v>
      </c>
      <c r="P60" s="6" t="s">
        <v>30</v>
      </c>
      <c r="Q60" s="125" t="s">
        <v>57</v>
      </c>
      <c r="R60" s="125" t="s">
        <v>30</v>
      </c>
      <c r="S60" s="125" t="s">
        <v>57</v>
      </c>
      <c r="T60" s="125" t="s">
        <v>30</v>
      </c>
      <c r="U60" s="125" t="s">
        <v>30</v>
      </c>
      <c r="V60" s="125" t="s">
        <v>30</v>
      </c>
      <c r="W60" s="125"/>
      <c r="X60" s="125"/>
      <c r="Y60" s="99"/>
      <c r="Z60" s="121"/>
      <c r="AA60" s="125"/>
      <c r="AB60" s="125"/>
      <c r="AC60" s="125"/>
      <c r="AD60" s="125"/>
      <c r="AE60" s="13"/>
      <c r="AF60" s="125"/>
      <c r="AG60" s="125"/>
      <c r="AH60" s="3"/>
      <c r="AI60" s="123"/>
      <c r="AJ60" s="23"/>
      <c r="AK60" s="17"/>
    </row>
    <row r="61" spans="2:37" customFormat="1" ht="20.100000000000001" customHeight="1" x14ac:dyDescent="0.15">
      <c r="B61" s="22">
        <f t="shared" si="0"/>
        <v>57</v>
      </c>
      <c r="C61" s="100">
        <v>2024</v>
      </c>
      <c r="D61" s="100">
        <v>2024.4</v>
      </c>
      <c r="E61" s="96" t="s">
        <v>251</v>
      </c>
      <c r="F61" s="4" t="s">
        <v>262</v>
      </c>
      <c r="G61" s="99"/>
      <c r="H61" s="47"/>
      <c r="I61" s="83"/>
      <c r="J61" s="46"/>
      <c r="K61" s="52"/>
      <c r="L61" s="54"/>
      <c r="M61" s="99" t="s">
        <v>86</v>
      </c>
      <c r="N61" s="6"/>
      <c r="O61" s="4"/>
      <c r="P61" s="6"/>
      <c r="Q61" s="99"/>
      <c r="R61" s="99"/>
      <c r="S61" s="99"/>
      <c r="T61" s="99"/>
      <c r="U61" s="99"/>
      <c r="V61" s="99"/>
      <c r="W61" s="99"/>
      <c r="X61" s="99"/>
      <c r="Y61" s="99"/>
      <c r="Z61" s="99"/>
      <c r="AA61" s="99"/>
      <c r="AB61" s="99"/>
      <c r="AC61" s="99"/>
      <c r="AD61" s="99"/>
      <c r="AE61" s="13"/>
      <c r="AF61" s="99"/>
      <c r="AG61" s="99"/>
      <c r="AH61" s="9"/>
      <c r="AI61" s="105"/>
      <c r="AJ61" s="25"/>
      <c r="AK61" s="19"/>
    </row>
    <row r="62" spans="2:37" customFormat="1" ht="20.100000000000001" customHeight="1" x14ac:dyDescent="0.15">
      <c r="B62" s="22">
        <f t="shared" si="0"/>
        <v>58</v>
      </c>
      <c r="C62" s="100">
        <v>2024</v>
      </c>
      <c r="D62" s="100">
        <v>2024.4</v>
      </c>
      <c r="E62" s="97" t="s">
        <v>252</v>
      </c>
      <c r="F62" s="4" t="s">
        <v>263</v>
      </c>
      <c r="G62" s="99"/>
      <c r="H62" s="47"/>
      <c r="I62" s="83"/>
      <c r="J62" s="46"/>
      <c r="K62" s="52"/>
      <c r="L62" s="54"/>
      <c r="M62" s="101" t="s">
        <v>127</v>
      </c>
      <c r="N62" s="6"/>
      <c r="O62" s="4"/>
      <c r="P62" s="6"/>
      <c r="Q62" s="99"/>
      <c r="R62" s="99"/>
      <c r="S62" s="99"/>
      <c r="T62" s="99"/>
      <c r="U62" s="99"/>
      <c r="V62" s="99"/>
      <c r="W62" s="99"/>
      <c r="X62" s="99"/>
      <c r="Y62" s="99"/>
      <c r="Z62" s="99"/>
      <c r="AA62" s="99"/>
      <c r="AB62" s="99"/>
      <c r="AC62" s="99"/>
      <c r="AD62" s="99"/>
      <c r="AE62" s="13"/>
      <c r="AF62" s="99"/>
      <c r="AG62" s="99"/>
      <c r="AH62" s="9"/>
      <c r="AI62" s="105"/>
      <c r="AJ62" s="25"/>
      <c r="AK62" s="19"/>
    </row>
    <row r="63" spans="2:37" customFormat="1" ht="20.100000000000001" customHeight="1" x14ac:dyDescent="0.15">
      <c r="B63" s="22">
        <f t="shared" si="0"/>
        <v>59</v>
      </c>
      <c r="C63" s="100">
        <v>2024</v>
      </c>
      <c r="D63" s="100">
        <v>2024.4</v>
      </c>
      <c r="E63" s="97" t="s">
        <v>292</v>
      </c>
      <c r="F63" s="4" t="s">
        <v>264</v>
      </c>
      <c r="G63" s="99"/>
      <c r="H63" s="47"/>
      <c r="I63" s="83"/>
      <c r="J63" s="46"/>
      <c r="K63" s="52"/>
      <c r="L63" s="54"/>
      <c r="M63" s="101" t="s">
        <v>127</v>
      </c>
      <c r="N63" s="6"/>
      <c r="O63" s="4"/>
      <c r="P63" s="6"/>
      <c r="Q63" s="99"/>
      <c r="R63" s="99"/>
      <c r="S63" s="99"/>
      <c r="T63" s="99"/>
      <c r="U63" s="99"/>
      <c r="V63" s="99"/>
      <c r="W63" s="99"/>
      <c r="X63" s="99"/>
      <c r="Y63" s="99"/>
      <c r="Z63" s="99"/>
      <c r="AA63" s="99"/>
      <c r="AB63" s="99"/>
      <c r="AC63" s="99"/>
      <c r="AD63" s="99"/>
      <c r="AE63" s="13"/>
      <c r="AF63" s="99"/>
      <c r="AG63" s="99"/>
      <c r="AH63" s="9"/>
      <c r="AI63" s="105"/>
      <c r="AJ63" s="25"/>
      <c r="AK63" s="19"/>
    </row>
    <row r="64" spans="2:37" customFormat="1" ht="20.100000000000001" customHeight="1" x14ac:dyDescent="0.15">
      <c r="B64" s="22">
        <f t="shared" si="0"/>
        <v>60</v>
      </c>
      <c r="C64" s="100">
        <v>2024</v>
      </c>
      <c r="D64" s="100">
        <v>2024.4</v>
      </c>
      <c r="E64" s="97" t="s">
        <v>253</v>
      </c>
      <c r="F64" s="4" t="s">
        <v>265</v>
      </c>
      <c r="G64" s="99"/>
      <c r="H64" s="47"/>
      <c r="I64" s="83"/>
      <c r="J64" s="46"/>
      <c r="K64" s="52"/>
      <c r="L64" s="54"/>
      <c r="M64" s="101" t="s">
        <v>127</v>
      </c>
      <c r="N64" s="6"/>
      <c r="O64" s="4"/>
      <c r="P64" s="6"/>
      <c r="Q64" s="99"/>
      <c r="R64" s="99"/>
      <c r="S64" s="99"/>
      <c r="T64" s="99"/>
      <c r="U64" s="99"/>
      <c r="V64" s="99"/>
      <c r="W64" s="99"/>
      <c r="X64" s="99"/>
      <c r="Y64" s="99"/>
      <c r="Z64" s="99"/>
      <c r="AA64" s="99"/>
      <c r="AB64" s="99"/>
      <c r="AC64" s="99"/>
      <c r="AD64" s="99"/>
      <c r="AE64" s="13"/>
      <c r="AF64" s="99"/>
      <c r="AG64" s="99"/>
      <c r="AH64" s="9"/>
      <c r="AI64" s="105"/>
      <c r="AJ64" s="25"/>
      <c r="AK64" s="19"/>
    </row>
    <row r="65" spans="2:37" customFormat="1" ht="20.100000000000001" customHeight="1" x14ac:dyDescent="0.15">
      <c r="B65" s="22">
        <f t="shared" si="0"/>
        <v>61</v>
      </c>
      <c r="C65" s="100">
        <v>2024</v>
      </c>
      <c r="D65" s="100">
        <v>2024.4</v>
      </c>
      <c r="E65" s="97" t="s">
        <v>254</v>
      </c>
      <c r="F65" s="4" t="s">
        <v>266</v>
      </c>
      <c r="G65" s="99"/>
      <c r="H65" s="47"/>
      <c r="I65" s="83"/>
      <c r="J65" s="46"/>
      <c r="K65" s="52"/>
      <c r="L65" s="54"/>
      <c r="M65" s="101" t="s">
        <v>86</v>
      </c>
      <c r="N65" s="6"/>
      <c r="O65" s="4"/>
      <c r="P65" s="6"/>
      <c r="Q65" s="99"/>
      <c r="R65" s="99"/>
      <c r="S65" s="99"/>
      <c r="T65" s="99"/>
      <c r="U65" s="99"/>
      <c r="V65" s="99"/>
      <c r="W65" s="99"/>
      <c r="X65" s="99"/>
      <c r="Y65" s="99"/>
      <c r="Z65" s="99"/>
      <c r="AA65" s="99"/>
      <c r="AB65" s="99"/>
      <c r="AC65" s="99"/>
      <c r="AD65" s="99"/>
      <c r="AE65" s="13"/>
      <c r="AF65" s="99"/>
      <c r="AG65" s="99"/>
      <c r="AH65" s="9"/>
      <c r="AI65" s="105"/>
      <c r="AJ65" s="25"/>
      <c r="AK65" s="19"/>
    </row>
    <row r="66" spans="2:37" customFormat="1" ht="20.100000000000001" customHeight="1" x14ac:dyDescent="0.15">
      <c r="B66" s="22">
        <f t="shared" si="0"/>
        <v>62</v>
      </c>
      <c r="C66" s="100">
        <v>2024</v>
      </c>
      <c r="D66" s="100">
        <v>2024.4</v>
      </c>
      <c r="E66" s="97" t="s">
        <v>255</v>
      </c>
      <c r="F66" s="4" t="s">
        <v>267</v>
      </c>
      <c r="G66" s="99"/>
      <c r="H66" s="47"/>
      <c r="I66" s="83"/>
      <c r="J66" s="46"/>
      <c r="K66" s="52"/>
      <c r="L66" s="54"/>
      <c r="M66" s="101" t="s">
        <v>127</v>
      </c>
      <c r="N66" s="6"/>
      <c r="O66" s="4"/>
      <c r="P66" s="6"/>
      <c r="Q66" s="99"/>
      <c r="R66" s="99"/>
      <c r="S66" s="99"/>
      <c r="T66" s="99"/>
      <c r="U66" s="99"/>
      <c r="V66" s="99"/>
      <c r="W66" s="99"/>
      <c r="X66" s="99"/>
      <c r="Y66" s="99"/>
      <c r="Z66" s="99"/>
      <c r="AA66" s="99"/>
      <c r="AB66" s="99"/>
      <c r="AC66" s="99"/>
      <c r="AD66" s="99"/>
      <c r="AE66" s="13"/>
      <c r="AF66" s="99"/>
      <c r="AG66" s="99"/>
      <c r="AH66" s="9"/>
      <c r="AI66" s="105"/>
      <c r="AJ66" s="25"/>
      <c r="AK66" s="19"/>
    </row>
    <row r="67" spans="2:37" customFormat="1" ht="20.100000000000001" customHeight="1" x14ac:dyDescent="0.15">
      <c r="B67" s="22">
        <f t="shared" si="0"/>
        <v>63</v>
      </c>
      <c r="C67" s="80">
        <v>2024</v>
      </c>
      <c r="D67" s="98">
        <v>2024.6</v>
      </c>
      <c r="E67" s="97" t="s">
        <v>297</v>
      </c>
      <c r="F67" s="4" t="s">
        <v>298</v>
      </c>
      <c r="G67" s="99" t="s">
        <v>207</v>
      </c>
      <c r="H67" s="47" t="s">
        <v>41</v>
      </c>
      <c r="I67" s="83" t="s">
        <v>8</v>
      </c>
      <c r="J67" s="46"/>
      <c r="K67" s="52">
        <v>75000</v>
      </c>
      <c r="L67" s="54">
        <v>75000</v>
      </c>
      <c r="M67" s="99" t="s">
        <v>63</v>
      </c>
      <c r="N67" s="111" t="s">
        <v>28</v>
      </c>
      <c r="O67" s="4" t="s">
        <v>305</v>
      </c>
      <c r="P67" s="6" t="s">
        <v>30</v>
      </c>
      <c r="Q67" s="99" t="s">
        <v>30</v>
      </c>
      <c r="R67" s="99" t="s">
        <v>30</v>
      </c>
      <c r="S67" s="99" t="s">
        <v>57</v>
      </c>
      <c r="T67" s="99" t="s">
        <v>30</v>
      </c>
      <c r="U67" s="99" t="s">
        <v>30</v>
      </c>
      <c r="V67" s="99" t="s">
        <v>30</v>
      </c>
      <c r="W67" s="99" t="s">
        <v>30</v>
      </c>
      <c r="X67" s="99" t="s">
        <v>30</v>
      </c>
      <c r="Y67" s="99"/>
      <c r="Z67" s="99" t="s">
        <v>30</v>
      </c>
      <c r="AA67" s="99" t="s">
        <v>30</v>
      </c>
      <c r="AB67" s="99" t="s">
        <v>30</v>
      </c>
      <c r="AC67" s="99" t="s">
        <v>30</v>
      </c>
      <c r="AD67" s="99" t="s">
        <v>30</v>
      </c>
      <c r="AE67" s="13" t="s">
        <v>342</v>
      </c>
      <c r="AF67" s="99" t="s">
        <v>57</v>
      </c>
      <c r="AG67" s="99" t="s">
        <v>57</v>
      </c>
      <c r="AH67" s="3" t="s">
        <v>341</v>
      </c>
      <c r="AI67" s="108" t="s">
        <v>30</v>
      </c>
      <c r="AJ67" s="25"/>
      <c r="AK67" s="19"/>
    </row>
    <row r="68" spans="2:37" customFormat="1" ht="20.100000000000001" customHeight="1" x14ac:dyDescent="0.15">
      <c r="B68" s="22">
        <f t="shared" si="0"/>
        <v>64</v>
      </c>
      <c r="C68" s="80">
        <v>2024</v>
      </c>
      <c r="D68" s="98">
        <v>2024.7</v>
      </c>
      <c r="E68" s="97" t="s">
        <v>319</v>
      </c>
      <c r="F68" s="4" t="s">
        <v>301</v>
      </c>
      <c r="G68" s="99" t="s">
        <v>211</v>
      </c>
      <c r="H68" s="47" t="s">
        <v>41</v>
      </c>
      <c r="I68" s="83" t="s">
        <v>8</v>
      </c>
      <c r="J68" s="46"/>
      <c r="K68" s="52"/>
      <c r="L68" s="54">
        <v>18944.97</v>
      </c>
      <c r="M68" s="99" t="s">
        <v>63</v>
      </c>
      <c r="N68" s="6" t="s">
        <v>288</v>
      </c>
      <c r="O68" s="4" t="s">
        <v>289</v>
      </c>
      <c r="P68" s="6" t="s">
        <v>57</v>
      </c>
      <c r="Q68" s="99" t="s">
        <v>57</v>
      </c>
      <c r="R68" s="99" t="s">
        <v>30</v>
      </c>
      <c r="S68" s="99" t="s">
        <v>57</v>
      </c>
      <c r="T68" s="99" t="s">
        <v>57</v>
      </c>
      <c r="U68" s="99" t="s">
        <v>57</v>
      </c>
      <c r="V68" s="99" t="s">
        <v>30</v>
      </c>
      <c r="W68" s="99" t="s">
        <v>57</v>
      </c>
      <c r="X68" s="99" t="s">
        <v>57</v>
      </c>
      <c r="Y68" s="99" t="s">
        <v>57</v>
      </c>
      <c r="Z68" s="99" t="s">
        <v>57</v>
      </c>
      <c r="AA68" s="99" t="s">
        <v>30</v>
      </c>
      <c r="AB68" s="99" t="s">
        <v>30</v>
      </c>
      <c r="AC68" s="99" t="s">
        <v>30</v>
      </c>
      <c r="AD68" s="99" t="s">
        <v>30</v>
      </c>
      <c r="AE68" s="13" t="s">
        <v>300</v>
      </c>
      <c r="AF68" s="99"/>
      <c r="AG68" s="99"/>
      <c r="AH68" s="112" t="s">
        <v>293</v>
      </c>
      <c r="AI68" s="105"/>
      <c r="AJ68" s="25"/>
      <c r="AK68" s="19"/>
    </row>
    <row r="69" spans="2:37" customFormat="1" ht="20.100000000000001" customHeight="1" x14ac:dyDescent="0.15">
      <c r="B69" s="22">
        <f t="shared" si="0"/>
        <v>65</v>
      </c>
      <c r="C69" s="80">
        <v>2024</v>
      </c>
      <c r="D69" s="114">
        <v>2024.8</v>
      </c>
      <c r="E69" s="97" t="s">
        <v>321</v>
      </c>
      <c r="F69" s="4" t="s">
        <v>302</v>
      </c>
      <c r="G69" s="115" t="s">
        <v>211</v>
      </c>
      <c r="H69" s="47" t="s">
        <v>41</v>
      </c>
      <c r="I69" s="83" t="s">
        <v>8</v>
      </c>
      <c r="J69" s="46">
        <v>2024.9</v>
      </c>
      <c r="K69" s="52"/>
      <c r="L69" s="54">
        <v>14989.92</v>
      </c>
      <c r="M69" s="99" t="s">
        <v>63</v>
      </c>
      <c r="N69" s="6" t="s">
        <v>29</v>
      </c>
      <c r="O69" s="4" t="s">
        <v>309</v>
      </c>
      <c r="P69" s="6" t="s">
        <v>57</v>
      </c>
      <c r="Q69" s="99" t="s">
        <v>57</v>
      </c>
      <c r="R69" s="99" t="s">
        <v>30</v>
      </c>
      <c r="S69" s="99" t="s">
        <v>57</v>
      </c>
      <c r="T69" s="99" t="s">
        <v>57</v>
      </c>
      <c r="U69" s="99" t="s">
        <v>57</v>
      </c>
      <c r="V69" s="99" t="s">
        <v>30</v>
      </c>
      <c r="W69" s="99" t="s">
        <v>57</v>
      </c>
      <c r="X69" s="99" t="s">
        <v>57</v>
      </c>
      <c r="Y69" s="99" t="s">
        <v>57</v>
      </c>
      <c r="Z69" s="99" t="s">
        <v>57</v>
      </c>
      <c r="AA69" s="99" t="s">
        <v>57</v>
      </c>
      <c r="AB69" s="99" t="s">
        <v>57</v>
      </c>
      <c r="AC69" s="99" t="s">
        <v>57</v>
      </c>
      <c r="AD69" s="99" t="s">
        <v>57</v>
      </c>
      <c r="AE69" s="13"/>
      <c r="AF69" s="99"/>
      <c r="AG69" s="99"/>
      <c r="AH69" s="9"/>
      <c r="AI69" s="105"/>
      <c r="AJ69" s="25"/>
      <c r="AK69" s="19"/>
    </row>
    <row r="70" spans="2:37" customFormat="1" ht="20.100000000000001" customHeight="1" x14ac:dyDescent="0.15">
      <c r="B70" s="22">
        <f t="shared" si="0"/>
        <v>66</v>
      </c>
      <c r="C70" s="80">
        <v>2024</v>
      </c>
      <c r="D70" s="114">
        <v>2024.8</v>
      </c>
      <c r="E70" s="97" t="s">
        <v>320</v>
      </c>
      <c r="F70" s="4" t="s">
        <v>303</v>
      </c>
      <c r="G70" s="115" t="s">
        <v>211</v>
      </c>
      <c r="H70" s="47" t="s">
        <v>41</v>
      </c>
      <c r="I70" s="83" t="s">
        <v>8</v>
      </c>
      <c r="J70" s="46">
        <v>2024.9</v>
      </c>
      <c r="K70" s="52"/>
      <c r="L70" s="54">
        <v>36640.339999999997</v>
      </c>
      <c r="M70" s="99" t="s">
        <v>63</v>
      </c>
      <c r="N70" s="6" t="s">
        <v>29</v>
      </c>
      <c r="O70" s="4" t="s">
        <v>306</v>
      </c>
      <c r="P70" s="6" t="s">
        <v>57</v>
      </c>
      <c r="Q70" s="99" t="s">
        <v>57</v>
      </c>
      <c r="R70" s="99" t="s">
        <v>30</v>
      </c>
      <c r="S70" s="99" t="s">
        <v>57</v>
      </c>
      <c r="T70" s="99" t="s">
        <v>57</v>
      </c>
      <c r="U70" s="99" t="s">
        <v>57</v>
      </c>
      <c r="V70" s="99" t="s">
        <v>30</v>
      </c>
      <c r="W70" s="99" t="s">
        <v>57</v>
      </c>
      <c r="X70" s="99" t="s">
        <v>57</v>
      </c>
      <c r="Y70" s="99" t="s">
        <v>57</v>
      </c>
      <c r="Z70" s="99" t="s">
        <v>57</v>
      </c>
      <c r="AA70" s="99" t="s">
        <v>57</v>
      </c>
      <c r="AB70" s="99" t="s">
        <v>57</v>
      </c>
      <c r="AC70" s="99" t="s">
        <v>57</v>
      </c>
      <c r="AD70" s="99" t="s">
        <v>57</v>
      </c>
      <c r="AE70" s="13"/>
      <c r="AF70" s="99"/>
      <c r="AG70" s="99"/>
      <c r="AH70" s="9"/>
      <c r="AI70" s="105"/>
      <c r="AJ70" s="25"/>
      <c r="AK70" s="19"/>
    </row>
    <row r="71" spans="2:37" customFormat="1" ht="20.100000000000001" customHeight="1" x14ac:dyDescent="0.15">
      <c r="B71" s="22">
        <f t="shared" si="0"/>
        <v>67</v>
      </c>
      <c r="C71" s="80">
        <v>2024</v>
      </c>
      <c r="D71" s="114">
        <v>2024.8</v>
      </c>
      <c r="E71" s="97" t="s">
        <v>322</v>
      </c>
      <c r="F71" s="4" t="s">
        <v>304</v>
      </c>
      <c r="G71" s="115" t="s">
        <v>211</v>
      </c>
      <c r="H71" s="47" t="s">
        <v>41</v>
      </c>
      <c r="I71" s="83" t="s">
        <v>8</v>
      </c>
      <c r="J71" s="46"/>
      <c r="K71" s="52"/>
      <c r="L71" s="54">
        <v>54506.29</v>
      </c>
      <c r="M71" s="99" t="s">
        <v>63</v>
      </c>
      <c r="N71" s="6" t="s">
        <v>29</v>
      </c>
      <c r="O71" s="4" t="s">
        <v>338</v>
      </c>
      <c r="P71" s="6" t="s">
        <v>57</v>
      </c>
      <c r="Q71" s="99" t="s">
        <v>57</v>
      </c>
      <c r="R71" s="99" t="s">
        <v>30</v>
      </c>
      <c r="S71" s="99" t="s">
        <v>57</v>
      </c>
      <c r="T71" s="99" t="s">
        <v>57</v>
      </c>
      <c r="U71" s="99" t="s">
        <v>57</v>
      </c>
      <c r="V71" s="99" t="s">
        <v>30</v>
      </c>
      <c r="W71" s="99" t="s">
        <v>57</v>
      </c>
      <c r="X71" s="99" t="s">
        <v>57</v>
      </c>
      <c r="Y71" s="99" t="s">
        <v>57</v>
      </c>
      <c r="Z71" s="99" t="s">
        <v>57</v>
      </c>
      <c r="AA71" s="99" t="s">
        <v>57</v>
      </c>
      <c r="AB71" s="99" t="s">
        <v>57</v>
      </c>
      <c r="AC71" s="99" t="s">
        <v>57</v>
      </c>
      <c r="AD71" s="99" t="s">
        <v>57</v>
      </c>
      <c r="AE71" s="13"/>
      <c r="AF71" s="99"/>
      <c r="AG71" s="99"/>
      <c r="AH71" s="9"/>
      <c r="AI71" s="105"/>
      <c r="AJ71" s="25"/>
      <c r="AK71" s="19"/>
    </row>
    <row r="72" spans="2:37" ht="20.100000000000001" customHeight="1" x14ac:dyDescent="0.15">
      <c r="B72" s="22">
        <f t="shared" si="0"/>
        <v>68</v>
      </c>
      <c r="C72" s="80">
        <v>2024</v>
      </c>
      <c r="D72" s="124">
        <v>202411</v>
      </c>
      <c r="E72" s="97" t="s">
        <v>311</v>
      </c>
      <c r="F72" s="4" t="s">
        <v>353</v>
      </c>
      <c r="G72" s="125" t="s">
        <v>211</v>
      </c>
      <c r="H72" s="47" t="s">
        <v>41</v>
      </c>
      <c r="I72" s="83" t="s">
        <v>125</v>
      </c>
      <c r="J72" s="46"/>
      <c r="K72" s="52"/>
      <c r="L72" s="54"/>
      <c r="M72" s="125" t="s">
        <v>103</v>
      </c>
      <c r="N72" s="6" t="s">
        <v>313</v>
      </c>
      <c r="O72" s="4"/>
      <c r="P72" s="6"/>
      <c r="Q72" s="125"/>
      <c r="R72" s="125"/>
      <c r="S72" s="125"/>
      <c r="T72" s="125"/>
      <c r="U72" s="125"/>
      <c r="V72" s="125"/>
      <c r="W72" s="125"/>
      <c r="X72" s="125"/>
      <c r="Y72" s="99"/>
      <c r="Z72" s="125"/>
      <c r="AA72" s="125"/>
      <c r="AB72" s="125"/>
      <c r="AC72" s="125"/>
      <c r="AD72" s="125"/>
      <c r="AE72" s="13"/>
      <c r="AF72" s="125"/>
      <c r="AG72" s="125"/>
      <c r="AH72" s="3"/>
      <c r="AI72" s="123"/>
      <c r="AJ72" s="23"/>
      <c r="AK72" s="17"/>
    </row>
    <row r="73" spans="2:37" ht="20.100000000000001" customHeight="1" x14ac:dyDescent="0.15">
      <c r="B73" s="22">
        <f t="shared" si="0"/>
        <v>69</v>
      </c>
      <c r="C73" s="80">
        <v>2024</v>
      </c>
      <c r="D73" s="124">
        <v>2024.11</v>
      </c>
      <c r="E73" s="97" t="s">
        <v>312</v>
      </c>
      <c r="F73" s="4" t="s">
        <v>323</v>
      </c>
      <c r="G73" s="125" t="s">
        <v>211</v>
      </c>
      <c r="H73" s="47" t="s">
        <v>41</v>
      </c>
      <c r="I73" s="83" t="s">
        <v>125</v>
      </c>
      <c r="J73" s="46"/>
      <c r="K73" s="52"/>
      <c r="L73" s="54"/>
      <c r="M73" s="125" t="s">
        <v>103</v>
      </c>
      <c r="N73" s="6" t="s">
        <v>313</v>
      </c>
      <c r="O73" s="4"/>
      <c r="P73" s="6"/>
      <c r="Q73" s="125"/>
      <c r="R73" s="125"/>
      <c r="S73" s="125"/>
      <c r="T73" s="125"/>
      <c r="U73" s="125"/>
      <c r="V73" s="125"/>
      <c r="W73" s="125"/>
      <c r="X73" s="125"/>
      <c r="Y73" s="99"/>
      <c r="Z73" s="125"/>
      <c r="AA73" s="125"/>
      <c r="AB73" s="125"/>
      <c r="AC73" s="125"/>
      <c r="AD73" s="125"/>
      <c r="AE73" s="13"/>
      <c r="AF73" s="125"/>
      <c r="AG73" s="125"/>
      <c r="AH73" s="3"/>
      <c r="AI73" s="123"/>
      <c r="AJ73" s="23"/>
      <c r="AK73" s="17"/>
    </row>
    <row r="74" spans="2:37" ht="20.100000000000001" customHeight="1" x14ac:dyDescent="0.15">
      <c r="B74" s="22">
        <f t="shared" si="0"/>
        <v>70</v>
      </c>
      <c r="C74" s="80">
        <v>2024</v>
      </c>
      <c r="D74" s="124">
        <v>2024.11</v>
      </c>
      <c r="E74" s="97" t="s">
        <v>314</v>
      </c>
      <c r="F74" s="4" t="s">
        <v>324</v>
      </c>
      <c r="G74" s="125" t="s">
        <v>211</v>
      </c>
      <c r="H74" s="47" t="s">
        <v>41</v>
      </c>
      <c r="I74" s="83" t="s">
        <v>125</v>
      </c>
      <c r="J74" s="46"/>
      <c r="K74" s="52"/>
      <c r="L74" s="54"/>
      <c r="M74" s="125" t="s">
        <v>103</v>
      </c>
      <c r="N74" s="6" t="s">
        <v>313</v>
      </c>
      <c r="O74" s="4"/>
      <c r="P74" s="6"/>
      <c r="Q74" s="125"/>
      <c r="R74" s="125"/>
      <c r="S74" s="125"/>
      <c r="T74" s="125"/>
      <c r="U74" s="125"/>
      <c r="V74" s="125"/>
      <c r="W74" s="125"/>
      <c r="X74" s="125"/>
      <c r="Y74" s="99"/>
      <c r="Z74" s="125"/>
      <c r="AA74" s="125"/>
      <c r="AB74" s="125"/>
      <c r="AC74" s="125"/>
      <c r="AD74" s="125"/>
      <c r="AE74" s="13"/>
      <c r="AF74" s="125"/>
      <c r="AG74" s="125"/>
      <c r="AH74" s="3"/>
      <c r="AI74" s="123"/>
      <c r="AJ74" s="23"/>
      <c r="AK74" s="17"/>
    </row>
    <row r="75" spans="2:37" ht="20.100000000000001" customHeight="1" x14ac:dyDescent="0.15">
      <c r="B75" s="22">
        <f t="shared" si="0"/>
        <v>71</v>
      </c>
      <c r="C75" s="80">
        <v>2024</v>
      </c>
      <c r="D75" s="124">
        <v>2024.11</v>
      </c>
      <c r="E75" s="97" t="s">
        <v>364</v>
      </c>
      <c r="F75" s="4" t="s">
        <v>325</v>
      </c>
      <c r="G75" s="125" t="s">
        <v>211</v>
      </c>
      <c r="H75" s="47" t="s">
        <v>41</v>
      </c>
      <c r="I75" s="83" t="s">
        <v>55</v>
      </c>
      <c r="J75" s="46"/>
      <c r="K75" s="52"/>
      <c r="L75" s="54"/>
      <c r="M75" s="125" t="s">
        <v>103</v>
      </c>
      <c r="N75" s="6" t="s">
        <v>313</v>
      </c>
      <c r="O75" s="4" t="s">
        <v>365</v>
      </c>
      <c r="P75" s="6" t="s">
        <v>57</v>
      </c>
      <c r="Q75" s="125" t="s">
        <v>57</v>
      </c>
      <c r="R75" s="125" t="s">
        <v>30</v>
      </c>
      <c r="S75" s="125" t="s">
        <v>57</v>
      </c>
      <c r="T75" s="125" t="s">
        <v>30</v>
      </c>
      <c r="U75" s="125" t="s">
        <v>57</v>
      </c>
      <c r="V75" s="125" t="s">
        <v>30</v>
      </c>
      <c r="W75" s="125"/>
      <c r="X75" s="125"/>
      <c r="Y75" s="99"/>
      <c r="Z75" s="125"/>
      <c r="AA75" s="125"/>
      <c r="AB75" s="125"/>
      <c r="AC75" s="125"/>
      <c r="AD75" s="125"/>
      <c r="AE75" s="13"/>
      <c r="AF75" s="125"/>
      <c r="AG75" s="125"/>
      <c r="AH75" s="3"/>
      <c r="AI75" s="123"/>
      <c r="AJ75" s="23"/>
      <c r="AK75" s="17"/>
    </row>
    <row r="76" spans="2:37" ht="20.100000000000001" customHeight="1" x14ac:dyDescent="0.15">
      <c r="B76" s="22">
        <f t="shared" si="0"/>
        <v>72</v>
      </c>
      <c r="C76" s="80">
        <v>2024</v>
      </c>
      <c r="D76" s="124">
        <v>2024.11</v>
      </c>
      <c r="E76" s="97" t="s">
        <v>336</v>
      </c>
      <c r="F76" s="4" t="s">
        <v>326</v>
      </c>
      <c r="G76" s="125" t="s">
        <v>207</v>
      </c>
      <c r="H76" s="47" t="s">
        <v>41</v>
      </c>
      <c r="I76" s="83" t="s">
        <v>215</v>
      </c>
      <c r="J76" s="46"/>
      <c r="K76" s="52">
        <v>450000</v>
      </c>
      <c r="L76" s="54">
        <v>410000</v>
      </c>
      <c r="M76" s="125" t="s">
        <v>103</v>
      </c>
      <c r="N76" s="6" t="s">
        <v>315</v>
      </c>
      <c r="O76" s="41" t="s">
        <v>335</v>
      </c>
      <c r="P76" s="6" t="s">
        <v>57</v>
      </c>
      <c r="Q76" s="125" t="s">
        <v>57</v>
      </c>
      <c r="R76" s="125" t="s">
        <v>30</v>
      </c>
      <c r="S76" s="125" t="s">
        <v>57</v>
      </c>
      <c r="T76" s="125" t="s">
        <v>30</v>
      </c>
      <c r="U76" s="125" t="s">
        <v>30</v>
      </c>
      <c r="V76" s="125" t="s">
        <v>30</v>
      </c>
      <c r="W76" s="125" t="s">
        <v>30</v>
      </c>
      <c r="X76" s="125"/>
      <c r="Y76" s="99"/>
      <c r="Z76" s="125"/>
      <c r="AA76" s="125"/>
      <c r="AB76" s="125"/>
      <c r="AC76" s="125"/>
      <c r="AD76" s="125"/>
      <c r="AE76" s="13"/>
      <c r="AF76" s="125"/>
      <c r="AG76" s="125"/>
      <c r="AH76" s="3"/>
      <c r="AI76" s="123"/>
      <c r="AJ76" s="23"/>
      <c r="AK76" s="17"/>
    </row>
    <row r="77" spans="2:37" ht="20.100000000000001" customHeight="1" x14ac:dyDescent="0.15">
      <c r="B77" s="22">
        <f t="shared" si="0"/>
        <v>73</v>
      </c>
      <c r="C77" s="124">
        <v>2024</v>
      </c>
      <c r="D77" s="124">
        <v>2024.12</v>
      </c>
      <c r="E77" s="116" t="s">
        <v>358</v>
      </c>
      <c r="F77" s="4" t="s">
        <v>343</v>
      </c>
      <c r="G77" s="125" t="s">
        <v>211</v>
      </c>
      <c r="H77" s="47" t="s">
        <v>41</v>
      </c>
      <c r="I77" s="83" t="s">
        <v>215</v>
      </c>
      <c r="J77" s="46"/>
      <c r="K77" s="52"/>
      <c r="L77" s="54"/>
      <c r="M77" s="125" t="s">
        <v>103</v>
      </c>
      <c r="N77" s="6" t="s">
        <v>315</v>
      </c>
      <c r="O77" s="4" t="s">
        <v>340</v>
      </c>
      <c r="P77" s="6" t="s">
        <v>30</v>
      </c>
      <c r="Q77" s="125" t="s">
        <v>57</v>
      </c>
      <c r="R77" s="125" t="s">
        <v>30</v>
      </c>
      <c r="S77" s="125" t="s">
        <v>57</v>
      </c>
      <c r="T77" s="125" t="s">
        <v>57</v>
      </c>
      <c r="U77" s="125" t="s">
        <v>57</v>
      </c>
      <c r="V77" s="125" t="s">
        <v>30</v>
      </c>
      <c r="W77" s="125"/>
      <c r="X77" s="125"/>
      <c r="Y77" s="99"/>
      <c r="Z77" s="125"/>
      <c r="AA77" s="125"/>
      <c r="AB77" s="125"/>
      <c r="AC77" s="125"/>
      <c r="AD77" s="125"/>
      <c r="AE77" s="13"/>
      <c r="AF77" s="125"/>
      <c r="AG77" s="125"/>
      <c r="AH77" s="3"/>
      <c r="AI77" s="123"/>
      <c r="AJ77" s="23"/>
      <c r="AK77" s="17"/>
    </row>
    <row r="78" spans="2:37" ht="20.100000000000001" customHeight="1" x14ac:dyDescent="0.15">
      <c r="B78" s="22">
        <f t="shared" si="0"/>
        <v>74</v>
      </c>
      <c r="C78" s="124">
        <v>2025</v>
      </c>
      <c r="D78" s="124">
        <v>2025.2</v>
      </c>
      <c r="E78" s="116" t="s">
        <v>368</v>
      </c>
      <c r="F78" s="4" t="s">
        <v>354</v>
      </c>
      <c r="G78" s="125" t="s">
        <v>211</v>
      </c>
      <c r="H78" s="47" t="s">
        <v>41</v>
      </c>
      <c r="I78" s="83" t="s">
        <v>168</v>
      </c>
      <c r="J78" s="46"/>
      <c r="K78" s="52">
        <v>3952.74</v>
      </c>
      <c r="L78" s="54">
        <v>3952.74</v>
      </c>
      <c r="M78" s="125" t="s">
        <v>103</v>
      </c>
      <c r="N78" s="6" t="s">
        <v>315</v>
      </c>
      <c r="O78" s="4" t="s">
        <v>363</v>
      </c>
      <c r="P78" s="6" t="s">
        <v>30</v>
      </c>
      <c r="Q78" s="125" t="s">
        <v>57</v>
      </c>
      <c r="R78" s="125" t="s">
        <v>30</v>
      </c>
      <c r="S78" s="125" t="s">
        <v>57</v>
      </c>
      <c r="T78" s="125" t="s">
        <v>57</v>
      </c>
      <c r="U78" s="125" t="s">
        <v>57</v>
      </c>
      <c r="V78" s="125" t="s">
        <v>30</v>
      </c>
      <c r="W78" s="125"/>
      <c r="X78" s="125"/>
      <c r="Y78" s="99"/>
      <c r="Z78" s="125"/>
      <c r="AA78" s="125"/>
      <c r="AB78" s="125"/>
      <c r="AC78" s="125"/>
      <c r="AD78" s="125"/>
      <c r="AE78" s="13"/>
      <c r="AF78" s="125"/>
      <c r="AG78" s="125"/>
      <c r="AH78" s="3"/>
      <c r="AI78" s="123"/>
      <c r="AJ78" s="23"/>
      <c r="AK78" s="17"/>
    </row>
    <row r="79" spans="2:37" ht="20.100000000000001" customHeight="1" x14ac:dyDescent="0.15">
      <c r="B79" s="22">
        <f t="shared" si="0"/>
        <v>75</v>
      </c>
      <c r="C79" s="124">
        <v>2025</v>
      </c>
      <c r="D79" s="124">
        <v>2025.2</v>
      </c>
      <c r="E79" s="116" t="s">
        <v>359</v>
      </c>
      <c r="F79" s="4" t="s">
        <v>344</v>
      </c>
      <c r="G79" s="125" t="s">
        <v>211</v>
      </c>
      <c r="H79" s="47" t="s">
        <v>41</v>
      </c>
      <c r="I79" s="83" t="s">
        <v>168</v>
      </c>
      <c r="J79" s="46"/>
      <c r="K79" s="52"/>
      <c r="L79" s="54"/>
      <c r="M79" s="125" t="s">
        <v>103</v>
      </c>
      <c r="N79" s="6" t="s">
        <v>315</v>
      </c>
      <c r="O79" s="4" t="s">
        <v>356</v>
      </c>
      <c r="P79" s="6" t="s">
        <v>30</v>
      </c>
      <c r="Q79" s="125" t="s">
        <v>57</v>
      </c>
      <c r="R79" s="125" t="s">
        <v>30</v>
      </c>
      <c r="S79" s="125" t="s">
        <v>57</v>
      </c>
      <c r="T79" s="125" t="s">
        <v>57</v>
      </c>
      <c r="U79" s="125" t="s">
        <v>57</v>
      </c>
      <c r="V79" s="125" t="s">
        <v>30</v>
      </c>
      <c r="W79" s="125"/>
      <c r="X79" s="125"/>
      <c r="Y79" s="73"/>
      <c r="Z79" s="125"/>
      <c r="AA79" s="125"/>
      <c r="AB79" s="125"/>
      <c r="AC79" s="125"/>
      <c r="AD79" s="125"/>
      <c r="AE79" s="13"/>
      <c r="AF79" s="125"/>
      <c r="AG79" s="125"/>
      <c r="AH79" s="3"/>
      <c r="AI79" s="123"/>
      <c r="AJ79" s="23"/>
      <c r="AK79" s="17"/>
    </row>
    <row r="80" spans="2:37" ht="20.100000000000001" customHeight="1" x14ac:dyDescent="0.15">
      <c r="B80" s="22">
        <f t="shared" si="0"/>
        <v>76</v>
      </c>
      <c r="C80" s="124">
        <v>2025</v>
      </c>
      <c r="D80" s="124">
        <v>2025.2</v>
      </c>
      <c r="E80" s="116" t="s">
        <v>360</v>
      </c>
      <c r="F80" s="4" t="s">
        <v>345</v>
      </c>
      <c r="G80" s="125" t="s">
        <v>211</v>
      </c>
      <c r="H80" s="47" t="s">
        <v>41</v>
      </c>
      <c r="I80" s="83" t="s">
        <v>168</v>
      </c>
      <c r="J80" s="46"/>
      <c r="K80" s="52"/>
      <c r="L80" s="54"/>
      <c r="M80" s="125" t="s">
        <v>103</v>
      </c>
      <c r="N80" s="6" t="s">
        <v>315</v>
      </c>
      <c r="O80" s="4" t="s">
        <v>357</v>
      </c>
      <c r="P80" s="6" t="s">
        <v>30</v>
      </c>
      <c r="Q80" s="125" t="s">
        <v>57</v>
      </c>
      <c r="R80" s="125" t="s">
        <v>30</v>
      </c>
      <c r="S80" s="125" t="s">
        <v>57</v>
      </c>
      <c r="T80" s="125" t="s">
        <v>57</v>
      </c>
      <c r="U80" s="125" t="s">
        <v>57</v>
      </c>
      <c r="V80" s="125" t="s">
        <v>30</v>
      </c>
      <c r="W80" s="125" t="s">
        <v>57</v>
      </c>
      <c r="X80" s="125"/>
      <c r="Y80" s="73"/>
      <c r="Z80" s="125"/>
      <c r="AA80" s="125"/>
      <c r="AB80" s="125"/>
      <c r="AC80" s="125"/>
      <c r="AD80" s="125"/>
      <c r="AE80" s="13"/>
      <c r="AF80" s="125"/>
      <c r="AG80" s="125"/>
      <c r="AH80" s="3" t="s">
        <v>392</v>
      </c>
      <c r="AI80" s="123"/>
      <c r="AJ80" s="23"/>
      <c r="AK80" s="17"/>
    </row>
    <row r="81" spans="2:37" ht="20.100000000000001" customHeight="1" x14ac:dyDescent="0.15">
      <c r="B81" s="22">
        <f t="shared" si="0"/>
        <v>77</v>
      </c>
      <c r="C81" s="124">
        <v>2025</v>
      </c>
      <c r="D81" s="124">
        <v>2025.2</v>
      </c>
      <c r="E81" s="116" t="s">
        <v>386</v>
      </c>
      <c r="F81" s="4" t="s">
        <v>346</v>
      </c>
      <c r="G81" s="125" t="s">
        <v>211</v>
      </c>
      <c r="H81" s="47" t="s">
        <v>41</v>
      </c>
      <c r="I81" s="83" t="s">
        <v>168</v>
      </c>
      <c r="J81" s="46"/>
      <c r="K81" s="52"/>
      <c r="L81" s="54"/>
      <c r="M81" s="125" t="s">
        <v>103</v>
      </c>
      <c r="N81" s="6" t="s">
        <v>315</v>
      </c>
      <c r="O81" s="4" t="s">
        <v>355</v>
      </c>
      <c r="P81" s="6" t="s">
        <v>30</v>
      </c>
      <c r="Q81" s="125" t="s">
        <v>57</v>
      </c>
      <c r="R81" s="125" t="s">
        <v>30</v>
      </c>
      <c r="S81" s="125" t="s">
        <v>57</v>
      </c>
      <c r="T81" s="125" t="s">
        <v>57</v>
      </c>
      <c r="U81" s="125" t="s">
        <v>57</v>
      </c>
      <c r="V81" s="125" t="s">
        <v>30</v>
      </c>
      <c r="W81" s="125" t="s">
        <v>57</v>
      </c>
      <c r="X81" s="125"/>
      <c r="Y81" s="73"/>
      <c r="Z81" s="125"/>
      <c r="AA81" s="125"/>
      <c r="AB81" s="125"/>
      <c r="AC81" s="125"/>
      <c r="AD81" s="125"/>
      <c r="AE81" s="13"/>
      <c r="AF81" s="125"/>
      <c r="AG81" s="125"/>
      <c r="AH81" s="3" t="s">
        <v>393</v>
      </c>
      <c r="AI81" s="123"/>
      <c r="AJ81" s="23"/>
      <c r="AK81" s="17"/>
    </row>
    <row r="82" spans="2:37" ht="20.100000000000001" customHeight="1" x14ac:dyDescent="0.15">
      <c r="B82" s="22">
        <f t="shared" si="0"/>
        <v>78</v>
      </c>
      <c r="C82" s="124">
        <v>2025</v>
      </c>
      <c r="D82" s="124">
        <v>2025.2</v>
      </c>
      <c r="E82" s="116" t="s">
        <v>387</v>
      </c>
      <c r="F82" s="4" t="s">
        <v>347</v>
      </c>
      <c r="G82" s="125" t="s">
        <v>211</v>
      </c>
      <c r="H82" s="47" t="s">
        <v>41</v>
      </c>
      <c r="I82" s="83" t="s">
        <v>168</v>
      </c>
      <c r="J82" s="46"/>
      <c r="K82" s="52"/>
      <c r="L82" s="54"/>
      <c r="M82" s="125" t="s">
        <v>103</v>
      </c>
      <c r="N82" s="6" t="s">
        <v>315</v>
      </c>
      <c r="O82" s="4" t="s">
        <v>362</v>
      </c>
      <c r="P82" s="6" t="s">
        <v>30</v>
      </c>
      <c r="Q82" s="125" t="s">
        <v>57</v>
      </c>
      <c r="R82" s="125" t="s">
        <v>30</v>
      </c>
      <c r="S82" s="125" t="s">
        <v>57</v>
      </c>
      <c r="T82" s="125" t="s">
        <v>57</v>
      </c>
      <c r="U82" s="125" t="s">
        <v>57</v>
      </c>
      <c r="V82" s="125" t="s">
        <v>30</v>
      </c>
      <c r="W82" s="125"/>
      <c r="X82" s="125"/>
      <c r="Y82" s="73"/>
      <c r="Z82" s="125"/>
      <c r="AA82" s="125"/>
      <c r="AB82" s="125"/>
      <c r="AC82" s="125"/>
      <c r="AD82" s="125"/>
      <c r="AE82" s="13"/>
      <c r="AF82" s="125"/>
      <c r="AG82" s="125"/>
      <c r="AH82" s="3"/>
      <c r="AI82" s="123"/>
      <c r="AJ82" s="23"/>
      <c r="AK82" s="17"/>
    </row>
    <row r="83" spans="2:37" ht="20.100000000000001" customHeight="1" x14ac:dyDescent="0.15">
      <c r="B83" s="22">
        <f t="shared" si="0"/>
        <v>79</v>
      </c>
      <c r="C83" s="124">
        <v>2025</v>
      </c>
      <c r="D83" s="124">
        <v>2025.2</v>
      </c>
      <c r="E83" s="37" t="s">
        <v>361</v>
      </c>
      <c r="F83" s="117" t="s">
        <v>348</v>
      </c>
      <c r="G83" s="47" t="s">
        <v>211</v>
      </c>
      <c r="H83" s="47" t="s">
        <v>41</v>
      </c>
      <c r="I83" s="118" t="s">
        <v>215</v>
      </c>
      <c r="J83" s="46"/>
      <c r="K83" s="52">
        <v>3000</v>
      </c>
      <c r="L83" s="54"/>
      <c r="M83" s="125" t="s">
        <v>103</v>
      </c>
      <c r="N83" s="6" t="s">
        <v>29</v>
      </c>
      <c r="O83" s="4" t="s">
        <v>367</v>
      </c>
      <c r="P83" s="6" t="s">
        <v>57</v>
      </c>
      <c r="Q83" s="125" t="s">
        <v>57</v>
      </c>
      <c r="R83" s="125"/>
      <c r="S83" s="125" t="s">
        <v>57</v>
      </c>
      <c r="T83" s="125" t="s">
        <v>57</v>
      </c>
      <c r="U83" s="125" t="s">
        <v>57</v>
      </c>
      <c r="V83" s="125"/>
      <c r="W83" s="125"/>
      <c r="X83" s="125"/>
      <c r="Y83" s="73"/>
      <c r="Z83" s="125"/>
      <c r="AA83" s="125"/>
      <c r="AB83" s="125"/>
      <c r="AC83" s="125"/>
      <c r="AD83" s="125"/>
      <c r="AE83" s="13"/>
      <c r="AF83" s="125"/>
      <c r="AG83" s="125"/>
      <c r="AH83" s="3"/>
      <c r="AI83" s="123"/>
      <c r="AJ83" s="23"/>
      <c r="AK83" s="17"/>
    </row>
    <row r="84" spans="2:37" ht="20.100000000000001" customHeight="1" x14ac:dyDescent="0.15">
      <c r="B84" s="22">
        <f t="shared" si="0"/>
        <v>80</v>
      </c>
      <c r="C84" s="124">
        <v>2025</v>
      </c>
      <c r="D84" s="124">
        <v>2025.3</v>
      </c>
      <c r="E84" s="3" t="s">
        <v>366</v>
      </c>
      <c r="F84" s="117" t="s">
        <v>370</v>
      </c>
      <c r="G84" s="125" t="s">
        <v>211</v>
      </c>
      <c r="H84" s="47" t="s">
        <v>41</v>
      </c>
      <c r="I84" s="83" t="s">
        <v>215</v>
      </c>
      <c r="J84" s="46"/>
      <c r="K84" s="52"/>
      <c r="L84" s="54"/>
      <c r="M84" s="125" t="s">
        <v>103</v>
      </c>
      <c r="N84" s="6" t="s">
        <v>29</v>
      </c>
      <c r="O84" s="4" t="s">
        <v>369</v>
      </c>
      <c r="P84" s="6" t="s">
        <v>57</v>
      </c>
      <c r="Q84" s="125" t="s">
        <v>57</v>
      </c>
      <c r="R84" s="125" t="s">
        <v>30</v>
      </c>
      <c r="S84" s="125" t="s">
        <v>57</v>
      </c>
      <c r="T84" s="125" t="s">
        <v>57</v>
      </c>
      <c r="U84" s="125" t="s">
        <v>57</v>
      </c>
      <c r="V84" s="125" t="s">
        <v>30</v>
      </c>
      <c r="W84" s="125"/>
      <c r="X84" s="125"/>
      <c r="Y84" s="73"/>
      <c r="Z84" s="125"/>
      <c r="AA84" s="125"/>
      <c r="AB84" s="125"/>
      <c r="AC84" s="125"/>
      <c r="AD84" s="125"/>
      <c r="AE84" s="13"/>
      <c r="AF84" s="125"/>
      <c r="AG84" s="125"/>
      <c r="AH84" s="3" t="s">
        <v>394</v>
      </c>
      <c r="AI84" s="123"/>
      <c r="AJ84" s="23"/>
      <c r="AK84" s="17"/>
    </row>
    <row r="85" spans="2:37" ht="20.100000000000001" customHeight="1" x14ac:dyDescent="0.15">
      <c r="B85" s="22">
        <f t="shared" si="0"/>
        <v>81</v>
      </c>
      <c r="C85" s="124">
        <v>2025</v>
      </c>
      <c r="D85" s="124">
        <v>2025.3</v>
      </c>
      <c r="E85" s="119" t="s">
        <v>385</v>
      </c>
      <c r="F85" s="113" t="s">
        <v>371</v>
      </c>
      <c r="G85" s="120" t="s">
        <v>41</v>
      </c>
      <c r="H85" s="47" t="s">
        <v>41</v>
      </c>
      <c r="I85" s="46" t="s">
        <v>168</v>
      </c>
      <c r="J85" s="46"/>
      <c r="K85" s="52"/>
      <c r="L85" s="120">
        <v>60000</v>
      </c>
      <c r="M85" s="125" t="s">
        <v>103</v>
      </c>
      <c r="N85" s="6" t="s">
        <v>29</v>
      </c>
      <c r="O85" s="113" t="s">
        <v>380</v>
      </c>
      <c r="P85" s="6"/>
      <c r="Q85" s="125"/>
      <c r="R85" s="125"/>
      <c r="S85" s="125"/>
      <c r="T85" s="125"/>
      <c r="U85" s="125"/>
      <c r="V85" s="125"/>
      <c r="W85" s="125"/>
      <c r="X85" s="125"/>
      <c r="Y85" s="73"/>
      <c r="Z85" s="125"/>
      <c r="AA85" s="125"/>
      <c r="AB85" s="125"/>
      <c r="AC85" s="125"/>
      <c r="AD85" s="125"/>
      <c r="AE85" s="142" t="s">
        <v>400</v>
      </c>
      <c r="AF85" s="125"/>
      <c r="AG85" s="125"/>
      <c r="AH85" s="3" t="s">
        <v>395</v>
      </c>
      <c r="AI85" s="123"/>
      <c r="AJ85" s="23"/>
      <c r="AK85" s="17"/>
    </row>
    <row r="86" spans="2:37" ht="20.100000000000001" customHeight="1" x14ac:dyDescent="0.15">
      <c r="B86" s="22">
        <f t="shared" si="0"/>
        <v>82</v>
      </c>
      <c r="C86" s="124">
        <v>2025</v>
      </c>
      <c r="D86" s="124">
        <v>2025.3</v>
      </c>
      <c r="E86" s="119" t="s">
        <v>372</v>
      </c>
      <c r="F86" s="113" t="s">
        <v>373</v>
      </c>
      <c r="G86" s="120" t="s">
        <v>41</v>
      </c>
      <c r="H86" s="47" t="s">
        <v>41</v>
      </c>
      <c r="I86" s="46" t="s">
        <v>168</v>
      </c>
      <c r="J86" s="46"/>
      <c r="K86" s="52"/>
      <c r="L86" s="120">
        <v>70000</v>
      </c>
      <c r="M86" s="125" t="s">
        <v>103</v>
      </c>
      <c r="N86" s="6" t="s">
        <v>29</v>
      </c>
      <c r="O86" s="113" t="s">
        <v>381</v>
      </c>
      <c r="P86" s="6"/>
      <c r="Q86" s="125"/>
      <c r="R86" s="125"/>
      <c r="S86" s="125"/>
      <c r="T86" s="125"/>
      <c r="U86" s="125"/>
      <c r="V86" s="125"/>
      <c r="W86" s="125"/>
      <c r="X86" s="125"/>
      <c r="Y86" s="73"/>
      <c r="Z86" s="125"/>
      <c r="AA86" s="125"/>
      <c r="AB86" s="125"/>
      <c r="AC86" s="125"/>
      <c r="AD86" s="125"/>
      <c r="AE86" s="143"/>
      <c r="AF86" s="125"/>
      <c r="AG86" s="125"/>
      <c r="AH86" s="3" t="s">
        <v>396</v>
      </c>
      <c r="AI86" s="123"/>
      <c r="AJ86" s="23"/>
      <c r="AK86" s="17"/>
    </row>
    <row r="87" spans="2:37" ht="20.100000000000001" customHeight="1" x14ac:dyDescent="0.15">
      <c r="B87" s="22">
        <f t="shared" si="0"/>
        <v>83</v>
      </c>
      <c r="C87" s="124">
        <v>2025</v>
      </c>
      <c r="D87" s="124">
        <v>2025.3</v>
      </c>
      <c r="E87" s="119" t="s">
        <v>374</v>
      </c>
      <c r="F87" s="113" t="s">
        <v>375</v>
      </c>
      <c r="G87" s="120" t="s">
        <v>41</v>
      </c>
      <c r="H87" s="47" t="s">
        <v>41</v>
      </c>
      <c r="I87" s="46" t="s">
        <v>168</v>
      </c>
      <c r="J87" s="46"/>
      <c r="K87" s="52"/>
      <c r="L87" s="120">
        <v>72000</v>
      </c>
      <c r="M87" s="125" t="s">
        <v>103</v>
      </c>
      <c r="N87" s="6" t="s">
        <v>29</v>
      </c>
      <c r="O87" s="113" t="s">
        <v>382</v>
      </c>
      <c r="P87" s="6"/>
      <c r="Q87" s="125"/>
      <c r="R87" s="125"/>
      <c r="S87" s="125"/>
      <c r="T87" s="125"/>
      <c r="U87" s="125"/>
      <c r="V87" s="125"/>
      <c r="W87" s="125"/>
      <c r="X87" s="125"/>
      <c r="Y87" s="73"/>
      <c r="Z87" s="125"/>
      <c r="AA87" s="125"/>
      <c r="AB87" s="125"/>
      <c r="AC87" s="125"/>
      <c r="AD87" s="125"/>
      <c r="AE87" s="143"/>
      <c r="AF87" s="125"/>
      <c r="AG87" s="125"/>
      <c r="AH87" s="3" t="s">
        <v>397</v>
      </c>
      <c r="AI87" s="123"/>
      <c r="AJ87" s="23"/>
      <c r="AK87" s="17"/>
    </row>
    <row r="88" spans="2:37" ht="20.100000000000001" customHeight="1" x14ac:dyDescent="0.15">
      <c r="B88" s="22">
        <f t="shared" si="0"/>
        <v>84</v>
      </c>
      <c r="C88" s="124">
        <v>2025</v>
      </c>
      <c r="D88" s="124">
        <v>2025.3</v>
      </c>
      <c r="E88" s="119" t="s">
        <v>376</v>
      </c>
      <c r="F88" s="113" t="s">
        <v>377</v>
      </c>
      <c r="G88" s="120" t="s">
        <v>41</v>
      </c>
      <c r="H88" s="47" t="s">
        <v>41</v>
      </c>
      <c r="I88" s="46" t="s">
        <v>168</v>
      </c>
      <c r="J88" s="46"/>
      <c r="K88" s="52"/>
      <c r="L88" s="120">
        <v>72000</v>
      </c>
      <c r="M88" s="125" t="s">
        <v>103</v>
      </c>
      <c r="N88" s="6" t="s">
        <v>29</v>
      </c>
      <c r="O88" s="113" t="s">
        <v>383</v>
      </c>
      <c r="P88" s="6"/>
      <c r="Q88" s="125"/>
      <c r="R88" s="125"/>
      <c r="S88" s="125"/>
      <c r="T88" s="125"/>
      <c r="U88" s="125"/>
      <c r="V88" s="125"/>
      <c r="W88" s="125"/>
      <c r="X88" s="125"/>
      <c r="Y88" s="73"/>
      <c r="Z88" s="125"/>
      <c r="AA88" s="125"/>
      <c r="AB88" s="125"/>
      <c r="AC88" s="125"/>
      <c r="AD88" s="125"/>
      <c r="AE88" s="143"/>
      <c r="AF88" s="125"/>
      <c r="AG88" s="125"/>
      <c r="AH88" s="3" t="s">
        <v>398</v>
      </c>
      <c r="AI88" s="123"/>
      <c r="AJ88" s="23"/>
      <c r="AK88" s="17"/>
    </row>
    <row r="89" spans="2:37" ht="20.100000000000001" customHeight="1" x14ac:dyDescent="0.15">
      <c r="B89" s="22">
        <f t="shared" si="0"/>
        <v>85</v>
      </c>
      <c r="C89" s="124">
        <v>2025</v>
      </c>
      <c r="D89" s="124">
        <v>2025.3</v>
      </c>
      <c r="E89" s="119" t="s">
        <v>378</v>
      </c>
      <c r="F89" s="113" t="s">
        <v>379</v>
      </c>
      <c r="G89" s="120" t="s">
        <v>41</v>
      </c>
      <c r="H89" s="47" t="s">
        <v>41</v>
      </c>
      <c r="I89" s="46" t="s">
        <v>168</v>
      </c>
      <c r="J89" s="46"/>
      <c r="K89" s="52"/>
      <c r="L89" s="120">
        <v>76000</v>
      </c>
      <c r="M89" s="125" t="s">
        <v>103</v>
      </c>
      <c r="N89" s="6" t="s">
        <v>29</v>
      </c>
      <c r="O89" s="113" t="s">
        <v>384</v>
      </c>
      <c r="P89" s="6"/>
      <c r="Q89" s="125"/>
      <c r="R89" s="125"/>
      <c r="S89" s="125"/>
      <c r="T89" s="125"/>
      <c r="U89" s="125"/>
      <c r="V89" s="125"/>
      <c r="W89" s="125"/>
      <c r="X89" s="125"/>
      <c r="Y89" s="7"/>
      <c r="Z89" s="125"/>
      <c r="AA89" s="125"/>
      <c r="AB89" s="125"/>
      <c r="AC89" s="125"/>
      <c r="AD89" s="125"/>
      <c r="AE89" s="144"/>
      <c r="AF89" s="125"/>
      <c r="AG89" s="125"/>
      <c r="AH89" s="3" t="s">
        <v>399</v>
      </c>
      <c r="AI89" s="123"/>
      <c r="AJ89" s="23"/>
      <c r="AK89" s="17"/>
    </row>
    <row r="90" spans="2:37" ht="20.100000000000001" customHeight="1" x14ac:dyDescent="0.15">
      <c r="B90" s="22">
        <f t="shared" ref="B90:B121" si="1">ROW()-4</f>
        <v>86</v>
      </c>
      <c r="C90" s="124">
        <v>2025</v>
      </c>
      <c r="D90" s="124">
        <v>2025.5</v>
      </c>
      <c r="E90" s="3" t="s">
        <v>389</v>
      </c>
      <c r="F90" s="3"/>
      <c r="G90" s="125" t="s">
        <v>207</v>
      </c>
      <c r="H90" s="47" t="s">
        <v>68</v>
      </c>
      <c r="I90" s="46" t="s">
        <v>55</v>
      </c>
      <c r="J90" s="46"/>
      <c r="K90" s="52"/>
      <c r="L90" s="54">
        <v>85000</v>
      </c>
      <c r="M90" s="125" t="s">
        <v>103</v>
      </c>
      <c r="N90" s="125" t="s">
        <v>28</v>
      </c>
      <c r="O90" s="4" t="s">
        <v>388</v>
      </c>
      <c r="P90" s="6" t="s">
        <v>57</v>
      </c>
      <c r="Q90" s="125" t="s">
        <v>30</v>
      </c>
      <c r="R90" s="125"/>
      <c r="S90" s="125" t="s">
        <v>57</v>
      </c>
      <c r="T90" s="125" t="s">
        <v>30</v>
      </c>
      <c r="U90" s="125" t="s">
        <v>30</v>
      </c>
      <c r="V90" s="125"/>
      <c r="W90" s="125"/>
      <c r="X90" s="125"/>
      <c r="Y90" s="7"/>
      <c r="Z90" s="125"/>
      <c r="AA90" s="125"/>
      <c r="AB90" s="125"/>
      <c r="AC90" s="125"/>
      <c r="AD90" s="125"/>
      <c r="AE90" s="13"/>
      <c r="AF90" s="125"/>
      <c r="AG90" s="125"/>
      <c r="AH90" s="3"/>
      <c r="AI90" s="123"/>
      <c r="AJ90" s="23"/>
      <c r="AK90" s="17"/>
    </row>
    <row r="91" spans="2:37" ht="20.100000000000001" customHeight="1" x14ac:dyDescent="0.15">
      <c r="B91" s="22">
        <f t="shared" si="1"/>
        <v>87</v>
      </c>
      <c r="C91" s="124"/>
      <c r="D91" s="124"/>
      <c r="E91" s="3"/>
      <c r="F91" s="3"/>
      <c r="G91" s="125"/>
      <c r="H91" s="47"/>
      <c r="I91" s="46"/>
      <c r="J91" s="46"/>
      <c r="K91" s="52"/>
      <c r="L91" s="54"/>
      <c r="M91" s="125"/>
      <c r="N91" s="125"/>
      <c r="O91" s="4"/>
      <c r="P91" s="6"/>
      <c r="Q91" s="125"/>
      <c r="R91" s="125"/>
      <c r="S91" s="125"/>
      <c r="T91" s="125"/>
      <c r="U91" s="125"/>
      <c r="V91" s="125"/>
      <c r="W91" s="125"/>
      <c r="X91" s="125"/>
      <c r="Y91" s="7"/>
      <c r="Z91" s="125"/>
      <c r="AA91" s="125"/>
      <c r="AB91" s="125"/>
      <c r="AC91" s="125"/>
      <c r="AD91" s="125"/>
      <c r="AE91" s="13"/>
      <c r="AF91" s="125"/>
      <c r="AG91" s="125"/>
      <c r="AH91" s="3"/>
      <c r="AI91" s="123"/>
      <c r="AJ91" s="23"/>
      <c r="AK91" s="17"/>
    </row>
    <row r="92" spans="2:37" ht="20.100000000000001" customHeight="1" x14ac:dyDescent="0.15">
      <c r="B92" s="22">
        <f t="shared" si="1"/>
        <v>88</v>
      </c>
      <c r="C92" s="88"/>
      <c r="D92" s="88"/>
      <c r="E92" s="89"/>
      <c r="F92" s="89"/>
      <c r="G92" s="122"/>
      <c r="H92" s="90"/>
      <c r="I92" s="82"/>
      <c r="J92" s="82"/>
      <c r="K92" s="91"/>
      <c r="L92" s="92"/>
      <c r="M92" s="122"/>
      <c r="N92" s="122"/>
      <c r="O92" s="31"/>
      <c r="P92" s="93"/>
      <c r="Q92" s="122"/>
      <c r="R92" s="122"/>
      <c r="S92" s="122"/>
      <c r="T92" s="122"/>
      <c r="U92" s="122"/>
      <c r="V92" s="122"/>
      <c r="W92" s="122"/>
      <c r="X92" s="122"/>
      <c r="Y92" s="87"/>
      <c r="Z92" s="122"/>
      <c r="AA92" s="122"/>
      <c r="AB92" s="122"/>
      <c r="AC92" s="122"/>
      <c r="AD92" s="122"/>
      <c r="AE92" s="94"/>
      <c r="AF92" s="122"/>
      <c r="AG92" s="122"/>
      <c r="AH92" s="89"/>
      <c r="AI92" s="128"/>
      <c r="AJ92" s="129"/>
      <c r="AK92" s="17"/>
    </row>
    <row r="93" spans="2:37" ht="20.100000000000001" customHeight="1" x14ac:dyDescent="0.15">
      <c r="B93" s="22">
        <f t="shared" si="1"/>
        <v>89</v>
      </c>
      <c r="C93" s="88"/>
      <c r="D93" s="88"/>
      <c r="E93" s="89"/>
      <c r="F93" s="89"/>
      <c r="G93" s="122"/>
      <c r="H93" s="90"/>
      <c r="I93" s="82"/>
      <c r="J93" s="82"/>
      <c r="K93" s="91"/>
      <c r="L93" s="92"/>
      <c r="M93" s="122"/>
      <c r="N93" s="122"/>
      <c r="O93" s="31"/>
      <c r="P93" s="93"/>
      <c r="Q93" s="122"/>
      <c r="R93" s="122"/>
      <c r="S93" s="122"/>
      <c r="T93" s="122"/>
      <c r="U93" s="122"/>
      <c r="V93" s="122"/>
      <c r="W93" s="122"/>
      <c r="X93" s="122"/>
      <c r="Y93" s="87"/>
      <c r="Z93" s="122"/>
      <c r="AA93" s="122"/>
      <c r="AB93" s="122"/>
      <c r="AC93" s="122"/>
      <c r="AD93" s="122"/>
      <c r="AE93" s="94"/>
      <c r="AF93" s="122"/>
      <c r="AG93" s="122"/>
      <c r="AH93" s="89"/>
      <c r="AI93" s="128"/>
      <c r="AJ93" s="129"/>
      <c r="AK93" s="17"/>
    </row>
    <row r="94" spans="2:37" ht="20.100000000000001" customHeight="1" x14ac:dyDescent="0.15">
      <c r="B94" s="22">
        <f t="shared" si="1"/>
        <v>90</v>
      </c>
      <c r="C94" s="88"/>
      <c r="D94" s="88"/>
      <c r="E94" s="89"/>
      <c r="F94" s="89"/>
      <c r="G94" s="122"/>
      <c r="H94" s="90"/>
      <c r="I94" s="82"/>
      <c r="J94" s="82"/>
      <c r="K94" s="91"/>
      <c r="L94" s="92"/>
      <c r="M94" s="122"/>
      <c r="N94" s="122"/>
      <c r="O94" s="31"/>
      <c r="P94" s="93"/>
      <c r="Q94" s="122"/>
      <c r="R94" s="122"/>
      <c r="S94" s="122"/>
      <c r="T94" s="122"/>
      <c r="U94" s="122"/>
      <c r="V94" s="122"/>
      <c r="W94" s="122"/>
      <c r="X94" s="122"/>
      <c r="Y94" s="87"/>
      <c r="Z94" s="122"/>
      <c r="AA94" s="122"/>
      <c r="AB94" s="122"/>
      <c r="AC94" s="122"/>
      <c r="AD94" s="122"/>
      <c r="AE94" s="94"/>
      <c r="AF94" s="122"/>
      <c r="AG94" s="122"/>
      <c r="AH94" s="89"/>
      <c r="AI94" s="128"/>
      <c r="AJ94" s="129"/>
      <c r="AK94" s="17"/>
    </row>
    <row r="95" spans="2:37" ht="20.100000000000001" customHeight="1" x14ac:dyDescent="0.15">
      <c r="B95" s="22">
        <f t="shared" si="1"/>
        <v>91</v>
      </c>
      <c r="C95" s="88"/>
      <c r="D95" s="88"/>
      <c r="E95" s="89"/>
      <c r="F95" s="89"/>
      <c r="G95" s="122"/>
      <c r="H95" s="90"/>
      <c r="I95" s="82"/>
      <c r="J95" s="82"/>
      <c r="K95" s="91"/>
      <c r="L95" s="92"/>
      <c r="M95" s="122"/>
      <c r="N95" s="122"/>
      <c r="O95" s="31"/>
      <c r="P95" s="93"/>
      <c r="Q95" s="122"/>
      <c r="R95" s="122"/>
      <c r="S95" s="122"/>
      <c r="T95" s="122"/>
      <c r="U95" s="122"/>
      <c r="V95" s="122"/>
      <c r="W95" s="122"/>
      <c r="X95" s="122"/>
      <c r="Y95" s="87"/>
      <c r="Z95" s="122"/>
      <c r="AA95" s="122"/>
      <c r="AB95" s="122"/>
      <c r="AC95" s="122"/>
      <c r="AD95" s="122"/>
      <c r="AE95" s="94"/>
      <c r="AF95" s="122"/>
      <c r="AG95" s="122"/>
      <c r="AH95" s="89"/>
      <c r="AI95" s="128"/>
      <c r="AJ95" s="129"/>
      <c r="AK95" s="17"/>
    </row>
    <row r="96" spans="2:37" ht="20.100000000000001" customHeight="1" x14ac:dyDescent="0.15">
      <c r="B96" s="22">
        <f t="shared" si="1"/>
        <v>92</v>
      </c>
      <c r="C96" s="88"/>
      <c r="D96" s="88"/>
      <c r="E96" s="89"/>
      <c r="F96" s="89"/>
      <c r="G96" s="122"/>
      <c r="H96" s="90"/>
      <c r="I96" s="82"/>
      <c r="J96" s="82"/>
      <c r="K96" s="91"/>
      <c r="L96" s="92"/>
      <c r="M96" s="122"/>
      <c r="N96" s="122"/>
      <c r="O96" s="31"/>
      <c r="P96" s="93"/>
      <c r="Q96" s="122"/>
      <c r="R96" s="122"/>
      <c r="S96" s="122"/>
      <c r="T96" s="122"/>
      <c r="U96" s="122"/>
      <c r="V96" s="122"/>
      <c r="W96" s="122"/>
      <c r="X96" s="122"/>
      <c r="Y96" s="87"/>
      <c r="Z96" s="122"/>
      <c r="AA96" s="122"/>
      <c r="AB96" s="122"/>
      <c r="AC96" s="122"/>
      <c r="AD96" s="122"/>
      <c r="AE96" s="94"/>
      <c r="AF96" s="122"/>
      <c r="AG96" s="122"/>
      <c r="AH96" s="89"/>
      <c r="AI96" s="128"/>
      <c r="AJ96" s="129"/>
      <c r="AK96" s="17"/>
    </row>
    <row r="97" spans="2:37" ht="20.100000000000001" customHeight="1" x14ac:dyDescent="0.15">
      <c r="B97" s="22">
        <f t="shared" si="1"/>
        <v>93</v>
      </c>
      <c r="C97" s="88"/>
      <c r="D97" s="88"/>
      <c r="E97" s="89"/>
      <c r="F97" s="89"/>
      <c r="G97" s="122"/>
      <c r="H97" s="90"/>
      <c r="I97" s="82"/>
      <c r="J97" s="82"/>
      <c r="K97" s="91"/>
      <c r="L97" s="92"/>
      <c r="M97" s="122"/>
      <c r="N97" s="122"/>
      <c r="O97" s="31"/>
      <c r="P97" s="93"/>
      <c r="Q97" s="122"/>
      <c r="R97" s="122"/>
      <c r="S97" s="122"/>
      <c r="T97" s="122"/>
      <c r="U97" s="122"/>
      <c r="V97" s="122"/>
      <c r="W97" s="122"/>
      <c r="X97" s="122"/>
      <c r="Y97" s="87"/>
      <c r="Z97" s="122"/>
      <c r="AA97" s="122"/>
      <c r="AB97" s="122"/>
      <c r="AC97" s="122"/>
      <c r="AD97" s="122"/>
      <c r="AE97" s="94"/>
      <c r="AF97" s="122"/>
      <c r="AG97" s="122"/>
      <c r="AH97" s="89"/>
      <c r="AI97" s="128"/>
      <c r="AJ97" s="129"/>
      <c r="AK97" s="17"/>
    </row>
    <row r="98" spans="2:37" ht="20.100000000000001" customHeight="1" x14ac:dyDescent="0.15">
      <c r="B98" s="22">
        <f t="shared" si="1"/>
        <v>94</v>
      </c>
      <c r="C98" s="88"/>
      <c r="D98" s="88"/>
      <c r="E98" s="89"/>
      <c r="F98" s="89"/>
      <c r="G98" s="122"/>
      <c r="H98" s="90"/>
      <c r="I98" s="82"/>
      <c r="J98" s="82"/>
      <c r="K98" s="91"/>
      <c r="L98" s="92"/>
      <c r="M98" s="122"/>
      <c r="N98" s="122"/>
      <c r="O98" s="31"/>
      <c r="P98" s="93"/>
      <c r="Q98" s="122"/>
      <c r="R98" s="122"/>
      <c r="S98" s="122"/>
      <c r="T98" s="122"/>
      <c r="U98" s="122"/>
      <c r="V98" s="122"/>
      <c r="W98" s="122"/>
      <c r="X98" s="122"/>
      <c r="Y98" s="87"/>
      <c r="Z98" s="122"/>
      <c r="AA98" s="122"/>
      <c r="AB98" s="122"/>
      <c r="AC98" s="122"/>
      <c r="AD98" s="122"/>
      <c r="AE98" s="94"/>
      <c r="AF98" s="122"/>
      <c r="AG98" s="122"/>
      <c r="AH98" s="89"/>
      <c r="AI98" s="128"/>
      <c r="AJ98" s="129"/>
      <c r="AK98" s="17"/>
    </row>
    <row r="99" spans="2:37" ht="20.100000000000001" customHeight="1" x14ac:dyDescent="0.15">
      <c r="B99" s="22">
        <f t="shared" si="1"/>
        <v>95</v>
      </c>
      <c r="C99" s="88"/>
      <c r="D99" s="88"/>
      <c r="E99" s="89"/>
      <c r="F99" s="89"/>
      <c r="G99" s="122"/>
      <c r="H99" s="90"/>
      <c r="I99" s="82"/>
      <c r="J99" s="82"/>
      <c r="K99" s="91"/>
      <c r="L99" s="92"/>
      <c r="M99" s="122"/>
      <c r="N99" s="122"/>
      <c r="O99" s="31"/>
      <c r="P99" s="93"/>
      <c r="Q99" s="122"/>
      <c r="R99" s="122"/>
      <c r="S99" s="122"/>
      <c r="T99" s="122"/>
      <c r="U99" s="122"/>
      <c r="V99" s="122"/>
      <c r="W99" s="122"/>
      <c r="X99" s="122"/>
      <c r="Y99" s="87"/>
      <c r="Z99" s="122"/>
      <c r="AA99" s="122"/>
      <c r="AB99" s="122"/>
      <c r="AC99" s="122"/>
      <c r="AD99" s="122"/>
      <c r="AE99" s="94"/>
      <c r="AF99" s="122"/>
      <c r="AG99" s="122"/>
      <c r="AH99" s="89"/>
      <c r="AI99" s="128"/>
      <c r="AJ99" s="129"/>
      <c r="AK99" s="17"/>
    </row>
    <row r="100" spans="2:37" ht="20.100000000000001" customHeight="1" x14ac:dyDescent="0.15">
      <c r="B100" s="22">
        <f t="shared" si="1"/>
        <v>96</v>
      </c>
      <c r="C100" s="88"/>
      <c r="D100" s="88"/>
      <c r="E100" s="89"/>
      <c r="F100" s="89"/>
      <c r="G100" s="122"/>
      <c r="H100" s="90"/>
      <c r="I100" s="82"/>
      <c r="J100" s="82"/>
      <c r="K100" s="91"/>
      <c r="L100" s="92"/>
      <c r="M100" s="122"/>
      <c r="N100" s="122"/>
      <c r="O100" s="31"/>
      <c r="P100" s="93"/>
      <c r="Q100" s="122"/>
      <c r="R100" s="122"/>
      <c r="S100" s="122"/>
      <c r="T100" s="122"/>
      <c r="U100" s="122"/>
      <c r="V100" s="122"/>
      <c r="W100" s="122"/>
      <c r="X100" s="122"/>
      <c r="Y100" s="87"/>
      <c r="Z100" s="122"/>
      <c r="AA100" s="122"/>
      <c r="AB100" s="122"/>
      <c r="AC100" s="122"/>
      <c r="AD100" s="122"/>
      <c r="AE100" s="94"/>
      <c r="AF100" s="122"/>
      <c r="AG100" s="122"/>
      <c r="AH100" s="89"/>
      <c r="AI100" s="128"/>
      <c r="AJ100" s="129"/>
      <c r="AK100" s="17"/>
    </row>
    <row r="101" spans="2:37" ht="20.100000000000001" customHeight="1" x14ac:dyDescent="0.15">
      <c r="B101" s="22">
        <f t="shared" si="1"/>
        <v>97</v>
      </c>
      <c r="C101" s="88"/>
      <c r="D101" s="88"/>
      <c r="E101" s="89"/>
      <c r="F101" s="89"/>
      <c r="G101" s="122"/>
      <c r="H101" s="90"/>
      <c r="I101" s="82"/>
      <c r="J101" s="82"/>
      <c r="K101" s="91"/>
      <c r="L101" s="92"/>
      <c r="M101" s="122"/>
      <c r="N101" s="122"/>
      <c r="O101" s="31"/>
      <c r="P101" s="93"/>
      <c r="Q101" s="122"/>
      <c r="R101" s="122"/>
      <c r="S101" s="122"/>
      <c r="T101" s="122"/>
      <c r="U101" s="122"/>
      <c r="V101" s="122"/>
      <c r="W101" s="122"/>
      <c r="X101" s="122"/>
      <c r="Y101" s="87"/>
      <c r="Z101" s="122"/>
      <c r="AA101" s="122"/>
      <c r="AB101" s="122"/>
      <c r="AC101" s="122"/>
      <c r="AD101" s="122"/>
      <c r="AE101" s="94"/>
      <c r="AF101" s="122"/>
      <c r="AG101" s="122"/>
      <c r="AH101" s="89"/>
      <c r="AI101" s="128"/>
      <c r="AJ101" s="129"/>
      <c r="AK101" s="17"/>
    </row>
    <row r="102" spans="2:37" ht="20.100000000000001" customHeight="1" x14ac:dyDescent="0.15">
      <c r="B102" s="22">
        <f t="shared" si="1"/>
        <v>98</v>
      </c>
      <c r="C102" s="88"/>
      <c r="D102" s="88"/>
      <c r="E102" s="89"/>
      <c r="F102" s="89"/>
      <c r="G102" s="122"/>
      <c r="H102" s="90"/>
      <c r="I102" s="82"/>
      <c r="J102" s="82"/>
      <c r="K102" s="91"/>
      <c r="L102" s="92"/>
      <c r="M102" s="122"/>
      <c r="N102" s="122"/>
      <c r="O102" s="31"/>
      <c r="P102" s="93"/>
      <c r="Q102" s="122"/>
      <c r="R102" s="122"/>
      <c r="S102" s="122"/>
      <c r="T102" s="122"/>
      <c r="U102" s="122"/>
      <c r="V102" s="122"/>
      <c r="W102" s="122"/>
      <c r="X102" s="122"/>
      <c r="Y102" s="87"/>
      <c r="Z102" s="122"/>
      <c r="AA102" s="122"/>
      <c r="AB102" s="122"/>
      <c r="AC102" s="122"/>
      <c r="AD102" s="122"/>
      <c r="AE102" s="94"/>
      <c r="AF102" s="122"/>
      <c r="AG102" s="122"/>
      <c r="AH102" s="89"/>
      <c r="AI102" s="128"/>
      <c r="AJ102" s="129"/>
      <c r="AK102" s="17"/>
    </row>
    <row r="103" spans="2:37" ht="20.100000000000001" customHeight="1" x14ac:dyDescent="0.15">
      <c r="B103" s="22">
        <f t="shared" si="1"/>
        <v>99</v>
      </c>
      <c r="C103" s="88"/>
      <c r="D103" s="88"/>
      <c r="E103" s="89"/>
      <c r="F103" s="89"/>
      <c r="G103" s="122"/>
      <c r="H103" s="90"/>
      <c r="I103" s="82"/>
      <c r="J103" s="82"/>
      <c r="K103" s="91"/>
      <c r="L103" s="92"/>
      <c r="M103" s="122"/>
      <c r="N103" s="122"/>
      <c r="O103" s="31"/>
      <c r="P103" s="93"/>
      <c r="Q103" s="122"/>
      <c r="R103" s="122"/>
      <c r="S103" s="122"/>
      <c r="T103" s="122"/>
      <c r="U103" s="122"/>
      <c r="V103" s="122"/>
      <c r="W103" s="122"/>
      <c r="X103" s="122"/>
      <c r="Y103" s="87"/>
      <c r="Z103" s="122"/>
      <c r="AA103" s="122"/>
      <c r="AB103" s="122"/>
      <c r="AC103" s="122"/>
      <c r="AD103" s="122"/>
      <c r="AE103" s="94"/>
      <c r="AF103" s="122"/>
      <c r="AG103" s="122"/>
      <c r="AH103" s="89"/>
      <c r="AI103" s="128"/>
      <c r="AJ103" s="129"/>
      <c r="AK103" s="17"/>
    </row>
    <row r="104" spans="2:37" ht="20.100000000000001" customHeight="1" x14ac:dyDescent="0.15">
      <c r="B104" s="22">
        <f t="shared" si="1"/>
        <v>100</v>
      </c>
      <c r="C104" s="88"/>
      <c r="D104" s="88"/>
      <c r="E104" s="89"/>
      <c r="F104" s="89"/>
      <c r="G104" s="122"/>
      <c r="H104" s="90"/>
      <c r="I104" s="82"/>
      <c r="J104" s="82"/>
      <c r="K104" s="91"/>
      <c r="L104" s="92"/>
      <c r="M104" s="122"/>
      <c r="N104" s="122"/>
      <c r="O104" s="31"/>
      <c r="P104" s="93"/>
      <c r="Q104" s="122"/>
      <c r="R104" s="122"/>
      <c r="S104" s="122"/>
      <c r="T104" s="122"/>
      <c r="U104" s="122"/>
      <c r="V104" s="122"/>
      <c r="W104" s="122"/>
      <c r="X104" s="122"/>
      <c r="Y104" s="87"/>
      <c r="Z104" s="122"/>
      <c r="AA104" s="122"/>
      <c r="AB104" s="122"/>
      <c r="AC104" s="122"/>
      <c r="AD104" s="122"/>
      <c r="AE104" s="94"/>
      <c r="AF104" s="122"/>
      <c r="AG104" s="122"/>
      <c r="AH104" s="89"/>
      <c r="AI104" s="128"/>
      <c r="AJ104" s="129"/>
      <c r="AK104" s="17"/>
    </row>
    <row r="105" spans="2:37" ht="20.100000000000001" customHeight="1" x14ac:dyDescent="0.15">
      <c r="B105" s="22">
        <f t="shared" si="1"/>
        <v>101</v>
      </c>
      <c r="C105" s="88"/>
      <c r="D105" s="88"/>
      <c r="E105" s="89"/>
      <c r="F105" s="89"/>
      <c r="G105" s="122"/>
      <c r="H105" s="90"/>
      <c r="I105" s="82"/>
      <c r="J105" s="82"/>
      <c r="K105" s="91"/>
      <c r="L105" s="92"/>
      <c r="M105" s="122"/>
      <c r="N105" s="122"/>
      <c r="O105" s="31"/>
      <c r="P105" s="93"/>
      <c r="Q105" s="122"/>
      <c r="R105" s="122"/>
      <c r="S105" s="122"/>
      <c r="T105" s="122"/>
      <c r="U105" s="122"/>
      <c r="V105" s="122"/>
      <c r="W105" s="122"/>
      <c r="X105" s="122"/>
      <c r="Y105" s="87"/>
      <c r="Z105" s="122"/>
      <c r="AA105" s="122"/>
      <c r="AB105" s="122"/>
      <c r="AC105" s="122"/>
      <c r="AD105" s="122"/>
      <c r="AE105" s="94"/>
      <c r="AF105" s="122"/>
      <c r="AG105" s="122"/>
      <c r="AH105" s="89"/>
      <c r="AI105" s="128"/>
      <c r="AJ105" s="129"/>
      <c r="AK105" s="17"/>
    </row>
    <row r="106" spans="2:37" ht="20.100000000000001" customHeight="1" x14ac:dyDescent="0.15">
      <c r="B106" s="22">
        <f t="shared" si="1"/>
        <v>102</v>
      </c>
      <c r="C106" s="88"/>
      <c r="D106" s="88"/>
      <c r="E106" s="89"/>
      <c r="F106" s="89"/>
      <c r="G106" s="122"/>
      <c r="H106" s="90"/>
      <c r="I106" s="82"/>
      <c r="J106" s="82"/>
      <c r="K106" s="91"/>
      <c r="L106" s="92"/>
      <c r="M106" s="122"/>
      <c r="N106" s="122"/>
      <c r="O106" s="31"/>
      <c r="P106" s="93"/>
      <c r="Q106" s="122"/>
      <c r="R106" s="122"/>
      <c r="S106" s="122"/>
      <c r="T106" s="122"/>
      <c r="U106" s="122"/>
      <c r="V106" s="122"/>
      <c r="W106" s="122"/>
      <c r="X106" s="122"/>
      <c r="Y106" s="87"/>
      <c r="Z106" s="122"/>
      <c r="AA106" s="122"/>
      <c r="AB106" s="122"/>
      <c r="AC106" s="122"/>
      <c r="AD106" s="122"/>
      <c r="AE106" s="94"/>
      <c r="AF106" s="122"/>
      <c r="AG106" s="122"/>
      <c r="AH106" s="89"/>
      <c r="AI106" s="128"/>
      <c r="AJ106" s="129"/>
      <c r="AK106" s="17"/>
    </row>
    <row r="107" spans="2:37" ht="20.100000000000001" customHeight="1" x14ac:dyDescent="0.15">
      <c r="B107" s="22">
        <f t="shared" si="1"/>
        <v>103</v>
      </c>
      <c r="C107" s="88"/>
      <c r="D107" s="88"/>
      <c r="E107" s="89"/>
      <c r="F107" s="89"/>
      <c r="G107" s="122"/>
      <c r="H107" s="90"/>
      <c r="I107" s="82"/>
      <c r="J107" s="82"/>
      <c r="K107" s="91"/>
      <c r="L107" s="92"/>
      <c r="M107" s="122"/>
      <c r="N107" s="122"/>
      <c r="O107" s="31"/>
      <c r="P107" s="93"/>
      <c r="Q107" s="122"/>
      <c r="R107" s="122"/>
      <c r="S107" s="122"/>
      <c r="T107" s="122"/>
      <c r="U107" s="122"/>
      <c r="V107" s="122"/>
      <c r="W107" s="122"/>
      <c r="X107" s="122"/>
      <c r="Y107" s="87"/>
      <c r="Z107" s="122"/>
      <c r="AA107" s="122"/>
      <c r="AB107" s="122"/>
      <c r="AC107" s="122"/>
      <c r="AD107" s="122"/>
      <c r="AE107" s="94"/>
      <c r="AF107" s="122"/>
      <c r="AG107" s="122"/>
      <c r="AH107" s="89"/>
      <c r="AI107" s="128"/>
      <c r="AJ107" s="129"/>
      <c r="AK107" s="17"/>
    </row>
    <row r="108" spans="2:37" ht="20.100000000000001" customHeight="1" x14ac:dyDescent="0.15">
      <c r="B108" s="22">
        <f t="shared" si="1"/>
        <v>104</v>
      </c>
      <c r="C108" s="88"/>
      <c r="D108" s="88"/>
      <c r="E108" s="89"/>
      <c r="F108" s="89"/>
      <c r="G108" s="122"/>
      <c r="H108" s="90"/>
      <c r="I108" s="82"/>
      <c r="J108" s="82"/>
      <c r="K108" s="91"/>
      <c r="L108" s="92"/>
      <c r="M108" s="122"/>
      <c r="N108" s="122"/>
      <c r="O108" s="31"/>
      <c r="P108" s="93"/>
      <c r="Q108" s="122"/>
      <c r="R108" s="122"/>
      <c r="S108" s="122"/>
      <c r="T108" s="122"/>
      <c r="U108" s="122"/>
      <c r="V108" s="122"/>
      <c r="W108" s="122"/>
      <c r="X108" s="122"/>
      <c r="Y108" s="87"/>
      <c r="Z108" s="122"/>
      <c r="AA108" s="122"/>
      <c r="AB108" s="122"/>
      <c r="AC108" s="122"/>
      <c r="AD108" s="122"/>
      <c r="AE108" s="94"/>
      <c r="AF108" s="122"/>
      <c r="AG108" s="122"/>
      <c r="AH108" s="89"/>
      <c r="AI108" s="128"/>
      <c r="AJ108" s="129"/>
      <c r="AK108" s="17"/>
    </row>
    <row r="109" spans="2:37" ht="20.100000000000001" customHeight="1" x14ac:dyDescent="0.15">
      <c r="B109" s="22">
        <f t="shared" si="1"/>
        <v>105</v>
      </c>
      <c r="C109" s="88"/>
      <c r="D109" s="88"/>
      <c r="E109" s="89"/>
      <c r="F109" s="89"/>
      <c r="G109" s="122"/>
      <c r="H109" s="90"/>
      <c r="I109" s="82"/>
      <c r="J109" s="82"/>
      <c r="K109" s="91"/>
      <c r="L109" s="92"/>
      <c r="M109" s="122"/>
      <c r="N109" s="122"/>
      <c r="O109" s="31"/>
      <c r="P109" s="93"/>
      <c r="Q109" s="122"/>
      <c r="R109" s="122"/>
      <c r="S109" s="122"/>
      <c r="T109" s="122"/>
      <c r="U109" s="122"/>
      <c r="V109" s="122"/>
      <c r="W109" s="122"/>
      <c r="X109" s="122"/>
      <c r="Y109" s="87"/>
      <c r="Z109" s="122"/>
      <c r="AA109" s="122"/>
      <c r="AB109" s="122"/>
      <c r="AC109" s="122"/>
      <c r="AD109" s="122"/>
      <c r="AE109" s="94"/>
      <c r="AF109" s="122"/>
      <c r="AG109" s="122"/>
      <c r="AH109" s="89"/>
      <c r="AI109" s="128"/>
      <c r="AJ109" s="129"/>
      <c r="AK109" s="17"/>
    </row>
    <row r="110" spans="2:37" ht="20.100000000000001" customHeight="1" x14ac:dyDescent="0.15">
      <c r="B110" s="22">
        <f t="shared" si="1"/>
        <v>106</v>
      </c>
      <c r="C110" s="88"/>
      <c r="D110" s="88"/>
      <c r="E110" s="89"/>
      <c r="F110" s="89"/>
      <c r="G110" s="122"/>
      <c r="H110" s="90"/>
      <c r="I110" s="82"/>
      <c r="J110" s="82"/>
      <c r="K110" s="91"/>
      <c r="L110" s="92"/>
      <c r="M110" s="122"/>
      <c r="N110" s="122"/>
      <c r="O110" s="31"/>
      <c r="P110" s="93"/>
      <c r="Q110" s="122"/>
      <c r="R110" s="122"/>
      <c r="S110" s="122"/>
      <c r="T110" s="122"/>
      <c r="U110" s="122"/>
      <c r="V110" s="122"/>
      <c r="W110" s="122"/>
      <c r="X110" s="122"/>
      <c r="Y110" s="87"/>
      <c r="Z110" s="122"/>
      <c r="AA110" s="122"/>
      <c r="AB110" s="122"/>
      <c r="AC110" s="122"/>
      <c r="AD110" s="122"/>
      <c r="AE110" s="94"/>
      <c r="AF110" s="122"/>
      <c r="AG110" s="122"/>
      <c r="AH110" s="89"/>
      <c r="AI110" s="128"/>
      <c r="AJ110" s="129"/>
      <c r="AK110" s="17"/>
    </row>
    <row r="111" spans="2:37" ht="20.100000000000001" customHeight="1" x14ac:dyDescent="0.15">
      <c r="B111" s="22">
        <f t="shared" si="1"/>
        <v>107</v>
      </c>
      <c r="C111" s="88"/>
      <c r="D111" s="88"/>
      <c r="E111" s="89"/>
      <c r="F111" s="89"/>
      <c r="G111" s="122"/>
      <c r="H111" s="90"/>
      <c r="I111" s="82"/>
      <c r="J111" s="82"/>
      <c r="K111" s="91"/>
      <c r="L111" s="92"/>
      <c r="M111" s="122"/>
      <c r="N111" s="122"/>
      <c r="O111" s="31"/>
      <c r="P111" s="93"/>
      <c r="Q111" s="122"/>
      <c r="R111" s="122"/>
      <c r="S111" s="122"/>
      <c r="T111" s="122"/>
      <c r="U111" s="122"/>
      <c r="V111" s="122"/>
      <c r="W111" s="122"/>
      <c r="X111" s="122"/>
      <c r="Y111" s="87"/>
      <c r="Z111" s="122"/>
      <c r="AA111" s="122"/>
      <c r="AB111" s="122"/>
      <c r="AC111" s="122"/>
      <c r="AD111" s="122"/>
      <c r="AE111" s="94"/>
      <c r="AF111" s="122"/>
      <c r="AG111" s="122"/>
      <c r="AH111" s="89"/>
      <c r="AI111" s="128"/>
      <c r="AJ111" s="129"/>
      <c r="AK111" s="17"/>
    </row>
    <row r="112" spans="2:37" ht="20.100000000000001" customHeight="1" x14ac:dyDescent="0.15">
      <c r="B112" s="22">
        <f t="shared" si="1"/>
        <v>108</v>
      </c>
      <c r="C112" s="88"/>
      <c r="D112" s="88"/>
      <c r="E112" s="89"/>
      <c r="F112" s="89"/>
      <c r="G112" s="122"/>
      <c r="H112" s="90"/>
      <c r="I112" s="82"/>
      <c r="J112" s="82"/>
      <c r="K112" s="91"/>
      <c r="L112" s="92"/>
      <c r="M112" s="122"/>
      <c r="N112" s="122"/>
      <c r="O112" s="31"/>
      <c r="P112" s="93"/>
      <c r="Q112" s="122"/>
      <c r="R112" s="122"/>
      <c r="S112" s="122"/>
      <c r="T112" s="122"/>
      <c r="U112" s="122"/>
      <c r="V112" s="122"/>
      <c r="W112" s="122"/>
      <c r="X112" s="122"/>
      <c r="Y112" s="87"/>
      <c r="Z112" s="122"/>
      <c r="AA112" s="122"/>
      <c r="AB112" s="122"/>
      <c r="AC112" s="122"/>
      <c r="AD112" s="122"/>
      <c r="AE112" s="94"/>
      <c r="AF112" s="122"/>
      <c r="AG112" s="122"/>
      <c r="AH112" s="89"/>
      <c r="AI112" s="128"/>
      <c r="AJ112" s="129"/>
      <c r="AK112" s="17"/>
    </row>
    <row r="113" spans="2:37" ht="20.100000000000001" customHeight="1" x14ac:dyDescent="0.15">
      <c r="B113" s="22">
        <f t="shared" si="1"/>
        <v>109</v>
      </c>
      <c r="C113" s="88"/>
      <c r="D113" s="88"/>
      <c r="E113" s="89"/>
      <c r="F113" s="89"/>
      <c r="G113" s="122"/>
      <c r="H113" s="90"/>
      <c r="I113" s="82"/>
      <c r="J113" s="82"/>
      <c r="K113" s="91"/>
      <c r="L113" s="92"/>
      <c r="M113" s="122"/>
      <c r="N113" s="122"/>
      <c r="O113" s="31"/>
      <c r="P113" s="93"/>
      <c r="Q113" s="122"/>
      <c r="R113" s="122"/>
      <c r="S113" s="122"/>
      <c r="T113" s="122"/>
      <c r="U113" s="122"/>
      <c r="V113" s="122"/>
      <c r="W113" s="122"/>
      <c r="X113" s="122"/>
      <c r="Y113" s="87"/>
      <c r="Z113" s="122"/>
      <c r="AA113" s="122"/>
      <c r="AB113" s="122"/>
      <c r="AC113" s="122"/>
      <c r="AD113" s="122"/>
      <c r="AE113" s="94"/>
      <c r="AF113" s="122"/>
      <c r="AG113" s="122"/>
      <c r="AH113" s="89"/>
      <c r="AI113" s="128"/>
      <c r="AJ113" s="129"/>
      <c r="AK113" s="17"/>
    </row>
    <row r="114" spans="2:37" ht="20.100000000000001" customHeight="1" x14ac:dyDescent="0.15">
      <c r="B114" s="22">
        <f t="shared" si="1"/>
        <v>110</v>
      </c>
      <c r="C114" s="88"/>
      <c r="D114" s="88"/>
      <c r="E114" s="89"/>
      <c r="F114" s="89"/>
      <c r="G114" s="122"/>
      <c r="H114" s="90"/>
      <c r="I114" s="82"/>
      <c r="J114" s="82"/>
      <c r="K114" s="91"/>
      <c r="L114" s="92"/>
      <c r="M114" s="122"/>
      <c r="N114" s="122"/>
      <c r="O114" s="31"/>
      <c r="P114" s="93"/>
      <c r="Q114" s="122"/>
      <c r="R114" s="122"/>
      <c r="S114" s="122"/>
      <c r="T114" s="122"/>
      <c r="U114" s="122"/>
      <c r="V114" s="122"/>
      <c r="W114" s="122"/>
      <c r="X114" s="122"/>
      <c r="Y114" s="87"/>
      <c r="Z114" s="122"/>
      <c r="AA114" s="122"/>
      <c r="AB114" s="122"/>
      <c r="AC114" s="122"/>
      <c r="AD114" s="122"/>
      <c r="AE114" s="94"/>
      <c r="AF114" s="122"/>
      <c r="AG114" s="122"/>
      <c r="AH114" s="89"/>
      <c r="AI114" s="128"/>
      <c r="AJ114" s="129"/>
      <c r="AK114" s="17"/>
    </row>
    <row r="115" spans="2:37" ht="20.100000000000001" customHeight="1" x14ac:dyDescent="0.15">
      <c r="B115" s="22">
        <f t="shared" si="1"/>
        <v>111</v>
      </c>
      <c r="C115" s="88"/>
      <c r="D115" s="88"/>
      <c r="E115" s="89"/>
      <c r="F115" s="89"/>
      <c r="G115" s="122"/>
      <c r="H115" s="90"/>
      <c r="I115" s="82"/>
      <c r="J115" s="82"/>
      <c r="K115" s="91"/>
      <c r="L115" s="92"/>
      <c r="M115" s="122"/>
      <c r="N115" s="122"/>
      <c r="O115" s="31"/>
      <c r="P115" s="93"/>
      <c r="Q115" s="122"/>
      <c r="R115" s="122"/>
      <c r="S115" s="122"/>
      <c r="T115" s="122"/>
      <c r="U115" s="122"/>
      <c r="V115" s="122"/>
      <c r="W115" s="122"/>
      <c r="X115" s="122"/>
      <c r="Y115" s="87"/>
      <c r="Z115" s="122"/>
      <c r="AA115" s="122"/>
      <c r="AB115" s="122"/>
      <c r="AC115" s="122"/>
      <c r="AD115" s="122"/>
      <c r="AE115" s="94"/>
      <c r="AF115" s="122"/>
      <c r="AG115" s="122"/>
      <c r="AH115" s="89"/>
      <c r="AI115" s="128"/>
      <c r="AJ115" s="129"/>
      <c r="AK115" s="17"/>
    </row>
    <row r="116" spans="2:37" ht="20.100000000000001" customHeight="1" x14ac:dyDescent="0.15">
      <c r="B116" s="22">
        <f t="shared" si="1"/>
        <v>112</v>
      </c>
      <c r="C116" s="88"/>
      <c r="D116" s="88"/>
      <c r="E116" s="89"/>
      <c r="F116" s="89"/>
      <c r="G116" s="122"/>
      <c r="H116" s="90"/>
      <c r="I116" s="82"/>
      <c r="J116" s="82"/>
      <c r="K116" s="91"/>
      <c r="L116" s="92"/>
      <c r="M116" s="122"/>
      <c r="N116" s="122"/>
      <c r="O116" s="31"/>
      <c r="P116" s="93"/>
      <c r="Q116" s="122"/>
      <c r="R116" s="122"/>
      <c r="S116" s="122"/>
      <c r="T116" s="122"/>
      <c r="U116" s="122"/>
      <c r="V116" s="122"/>
      <c r="W116" s="122"/>
      <c r="X116" s="122"/>
      <c r="Y116" s="87"/>
      <c r="Z116" s="122"/>
      <c r="AA116" s="122"/>
      <c r="AB116" s="122"/>
      <c r="AC116" s="122"/>
      <c r="AD116" s="122"/>
      <c r="AE116" s="94"/>
      <c r="AF116" s="122"/>
      <c r="AG116" s="122"/>
      <c r="AH116" s="89"/>
      <c r="AI116" s="128"/>
      <c r="AJ116" s="129"/>
      <c r="AK116" s="17"/>
    </row>
    <row r="117" spans="2:37" ht="20.100000000000001" customHeight="1" x14ac:dyDescent="0.15">
      <c r="B117" s="22">
        <f t="shared" si="1"/>
        <v>113</v>
      </c>
      <c r="C117" s="88"/>
      <c r="D117" s="88"/>
      <c r="E117" s="89"/>
      <c r="F117" s="89"/>
      <c r="G117" s="122"/>
      <c r="H117" s="90"/>
      <c r="I117" s="82"/>
      <c r="J117" s="82"/>
      <c r="K117" s="91"/>
      <c r="L117" s="92"/>
      <c r="M117" s="122"/>
      <c r="N117" s="122"/>
      <c r="O117" s="31"/>
      <c r="P117" s="93"/>
      <c r="Q117" s="122"/>
      <c r="R117" s="122"/>
      <c r="S117" s="122"/>
      <c r="T117" s="122"/>
      <c r="U117" s="122"/>
      <c r="V117" s="122"/>
      <c r="W117" s="122"/>
      <c r="X117" s="122"/>
      <c r="Y117" s="87"/>
      <c r="Z117" s="122"/>
      <c r="AA117" s="122"/>
      <c r="AB117" s="122"/>
      <c r="AC117" s="122"/>
      <c r="AD117" s="122"/>
      <c r="AE117" s="94"/>
      <c r="AF117" s="122"/>
      <c r="AG117" s="122"/>
      <c r="AH117" s="89"/>
      <c r="AI117" s="128"/>
      <c r="AJ117" s="129"/>
      <c r="AK117" s="17"/>
    </row>
    <row r="118" spans="2:37" ht="20.100000000000001" customHeight="1" x14ac:dyDescent="0.15">
      <c r="B118" s="22">
        <f t="shared" si="1"/>
        <v>114</v>
      </c>
      <c r="C118" s="88"/>
      <c r="D118" s="88"/>
      <c r="E118" s="89"/>
      <c r="F118" s="89"/>
      <c r="G118" s="122"/>
      <c r="H118" s="90"/>
      <c r="I118" s="82"/>
      <c r="J118" s="82"/>
      <c r="K118" s="91"/>
      <c r="L118" s="92"/>
      <c r="M118" s="122"/>
      <c r="N118" s="122"/>
      <c r="O118" s="31"/>
      <c r="P118" s="93"/>
      <c r="Q118" s="122"/>
      <c r="R118" s="122"/>
      <c r="S118" s="122"/>
      <c r="T118" s="122"/>
      <c r="U118" s="122"/>
      <c r="V118" s="122"/>
      <c r="W118" s="122"/>
      <c r="X118" s="122"/>
      <c r="Y118" s="87"/>
      <c r="Z118" s="122"/>
      <c r="AA118" s="122"/>
      <c r="AB118" s="122"/>
      <c r="AC118" s="122"/>
      <c r="AD118" s="122"/>
      <c r="AE118" s="94"/>
      <c r="AF118" s="122"/>
      <c r="AG118" s="122"/>
      <c r="AH118" s="89"/>
      <c r="AI118" s="128"/>
      <c r="AJ118" s="129"/>
      <c r="AK118" s="17"/>
    </row>
    <row r="119" spans="2:37" ht="20.100000000000001" customHeight="1" x14ac:dyDescent="0.15">
      <c r="B119" s="22">
        <f t="shared" si="1"/>
        <v>115</v>
      </c>
      <c r="C119" s="88"/>
      <c r="D119" s="88"/>
      <c r="E119" s="89"/>
      <c r="F119" s="89"/>
      <c r="G119" s="122"/>
      <c r="H119" s="90"/>
      <c r="I119" s="82"/>
      <c r="J119" s="82"/>
      <c r="K119" s="91"/>
      <c r="L119" s="92"/>
      <c r="M119" s="122"/>
      <c r="N119" s="122"/>
      <c r="O119" s="31"/>
      <c r="P119" s="93"/>
      <c r="Q119" s="122"/>
      <c r="R119" s="122"/>
      <c r="S119" s="122"/>
      <c r="T119" s="122"/>
      <c r="U119" s="122"/>
      <c r="V119" s="122"/>
      <c r="W119" s="122"/>
      <c r="X119" s="122"/>
      <c r="Y119" s="87"/>
      <c r="Z119" s="122"/>
      <c r="AA119" s="122"/>
      <c r="AB119" s="122"/>
      <c r="AC119" s="122"/>
      <c r="AD119" s="122"/>
      <c r="AE119" s="94"/>
      <c r="AF119" s="122"/>
      <c r="AG119" s="122"/>
      <c r="AH119" s="89"/>
      <c r="AI119" s="128"/>
      <c r="AJ119" s="129"/>
      <c r="AK119" s="17"/>
    </row>
    <row r="120" spans="2:37" ht="20.100000000000001" customHeight="1" x14ac:dyDescent="0.15">
      <c r="B120" s="22">
        <f t="shared" si="1"/>
        <v>116</v>
      </c>
      <c r="C120" s="88"/>
      <c r="D120" s="88"/>
      <c r="E120" s="89"/>
      <c r="F120" s="89"/>
      <c r="G120" s="122"/>
      <c r="H120" s="90"/>
      <c r="I120" s="82"/>
      <c r="J120" s="82"/>
      <c r="K120" s="91"/>
      <c r="L120" s="92"/>
      <c r="M120" s="122"/>
      <c r="N120" s="122"/>
      <c r="O120" s="31"/>
      <c r="P120" s="93"/>
      <c r="Q120" s="122"/>
      <c r="R120" s="122"/>
      <c r="S120" s="122"/>
      <c r="T120" s="122"/>
      <c r="U120" s="122"/>
      <c r="V120" s="122"/>
      <c r="W120" s="122"/>
      <c r="X120" s="122"/>
      <c r="Y120" s="87"/>
      <c r="Z120" s="122"/>
      <c r="AA120" s="122"/>
      <c r="AB120" s="122"/>
      <c r="AC120" s="122"/>
      <c r="AD120" s="122"/>
      <c r="AE120" s="94"/>
      <c r="AF120" s="122"/>
      <c r="AG120" s="122"/>
      <c r="AH120" s="89"/>
      <c r="AI120" s="128"/>
      <c r="AJ120" s="129"/>
      <c r="AK120" s="17"/>
    </row>
    <row r="121" spans="2:37" ht="20.100000000000001" customHeight="1" thickBot="1" x14ac:dyDescent="0.2">
      <c r="B121" s="22">
        <f t="shared" si="1"/>
        <v>117</v>
      </c>
      <c r="C121" s="34"/>
      <c r="D121" s="34"/>
      <c r="E121" s="38"/>
      <c r="F121" s="38"/>
      <c r="G121" s="29"/>
      <c r="H121" s="40"/>
      <c r="I121" s="26"/>
      <c r="J121" s="26"/>
      <c r="K121" s="53"/>
      <c r="L121" s="55"/>
      <c r="M121" s="29"/>
      <c r="N121" s="29"/>
      <c r="O121" s="28"/>
      <c r="P121" s="27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30"/>
      <c r="AF121" s="29"/>
      <c r="AG121" s="29"/>
      <c r="AH121" s="38"/>
      <c r="AI121" s="130"/>
      <c r="AJ121" s="131"/>
      <c r="AK121" s="17"/>
    </row>
    <row r="122" spans="2:37" ht="20.100000000000001" customHeight="1" thickTop="1" x14ac:dyDescent="0.15"/>
  </sheetData>
  <autoFilter ref="B3:AJ121"/>
  <mergeCells count="2">
    <mergeCell ref="O2:AJ2"/>
    <mergeCell ref="AE85:AE89"/>
  </mergeCells>
  <phoneticPr fontId="1" type="noConversion"/>
  <conditionalFormatting sqref="O5 O9:O24 O7 O28:O30 O32:O38 O40:O43 Q5:R58 O60:O67 O69 O45:O58 Q60:R121 O72:O84 O91:O121">
    <cfRule type="expression" dxfId="274" priority="444">
      <formula>$I5="完成"</formula>
    </cfRule>
    <cfRule type="expression" dxfId="273" priority="445">
      <formula>$I5="设备验收"</formula>
    </cfRule>
    <cfRule type="expression" dxfId="272" priority="446">
      <formula>$I5="设备接收"</formula>
    </cfRule>
    <cfRule type="expression" dxfId="271" priority="447">
      <formula>$I5="预验收/组装调试"</formula>
    </cfRule>
    <cfRule type="expression" dxfId="270" priority="448">
      <formula>$I5="设备采购"</formula>
    </cfRule>
    <cfRule type="expression" dxfId="269" priority="449">
      <formula>$I5="方案评审"</formula>
    </cfRule>
    <cfRule type="expression" dxfId="268" priority="470">
      <formula>$I5="立项评审"</formula>
    </cfRule>
  </conditionalFormatting>
  <conditionalFormatting sqref="R1 R122:R1048576 R3:R4">
    <cfRule type="cellIs" dxfId="267" priority="463" operator="equal">
      <formula>"√"</formula>
    </cfRule>
  </conditionalFormatting>
  <conditionalFormatting sqref="S5:S29 T10:T29 S30:T30 S32:T58 S60:T76 S78:T121">
    <cfRule type="expression" dxfId="266" priority="428">
      <formula>$I5="完成"</formula>
    </cfRule>
    <cfRule type="expression" dxfId="265" priority="429">
      <formula>$I5="预验收/组装调试"</formula>
    </cfRule>
    <cfRule type="expression" dxfId="264" priority="430">
      <formula>$I5="设备采购"</formula>
    </cfRule>
    <cfRule type="expression" dxfId="263" priority="431">
      <formula>$I5="方案评审"</formula>
    </cfRule>
    <cfRule type="expression" dxfId="262" priority="433">
      <formula>$I5="设备验收"</formula>
    </cfRule>
    <cfRule type="expression" dxfId="261" priority="435">
      <formula>$I5="设备接收"</formula>
    </cfRule>
  </conditionalFormatting>
  <conditionalFormatting sqref="W5:W8 W10:W27 W29:W47 W49:W121">
    <cfRule type="expression" dxfId="260" priority="404">
      <formula>$I5="设备接收"</formula>
    </cfRule>
    <cfRule type="expression" dxfId="259" priority="405">
      <formula>$I5="完成"</formula>
    </cfRule>
    <cfRule type="expression" dxfId="258" priority="406">
      <formula>$I5="预验收/组装调试"</formula>
    </cfRule>
    <cfRule type="expression" dxfId="257" priority="411">
      <formula>$I5="设备验收"</formula>
    </cfRule>
  </conditionalFormatting>
  <conditionalFormatting sqref="X5:X8 X10:X27 X29:X47 X49:X121">
    <cfRule type="expression" dxfId="256" priority="396">
      <formula>$I5="设备验收"</formula>
    </cfRule>
    <cfRule type="expression" dxfId="255" priority="397">
      <formula>$I5="设备接收"</formula>
    </cfRule>
    <cfRule type="expression" dxfId="254" priority="398">
      <formula>$I5="完成"</formula>
    </cfRule>
    <cfRule type="expression" dxfId="253" priority="399">
      <formula>$I5="预验收/组装调试"</formula>
    </cfRule>
  </conditionalFormatting>
  <conditionalFormatting sqref="Y5:Y8 Y10:Y47 Y49:Y121">
    <cfRule type="expression" dxfId="252" priority="388">
      <formula>$I5="设备验收"</formula>
    </cfRule>
    <cfRule type="expression" dxfId="251" priority="389">
      <formula>$I5="设备接收"</formula>
    </cfRule>
    <cfRule type="expression" dxfId="250" priority="390">
      <formula>$I5="完成"</formula>
    </cfRule>
  </conditionalFormatting>
  <conditionalFormatting sqref="Z5:Z8 Z10:AD29 AE5:AE29 Z30:AE41 Z45:AE47 AA43:AE43 AA44:AC44 Z49:AE85 AA48:AC48 AA42:AC42 Z90:AE121 Z86:AD89">
    <cfRule type="expression" dxfId="249" priority="381">
      <formula>$I5="设备验收"</formula>
    </cfRule>
    <cfRule type="expression" dxfId="248" priority="382">
      <formula>$I5="完成"</formula>
    </cfRule>
  </conditionalFormatting>
  <conditionalFormatting sqref="T5:T8">
    <cfRule type="expression" dxfId="247" priority="317">
      <formula>$I5="完成"</formula>
    </cfRule>
    <cfRule type="expression" dxfId="246" priority="318">
      <formula>$I5="预验收"</formula>
    </cfRule>
    <cfRule type="expression" dxfId="245" priority="319">
      <formula>$I5="设备采购"</formula>
    </cfRule>
    <cfRule type="expression" dxfId="244" priority="320">
      <formula>$I5="方案评审"</formula>
    </cfRule>
    <cfRule type="expression" dxfId="243" priority="322">
      <formula>$I5="设备验收"</formula>
    </cfRule>
    <cfRule type="expression" dxfId="242" priority="323">
      <formula>$I5="设备接收"</formula>
    </cfRule>
  </conditionalFormatting>
  <conditionalFormatting sqref="U5:U8 U10:U58 U60:U76 U84:U121">
    <cfRule type="expression" dxfId="241" priority="310">
      <formula>$I5="完成"</formula>
    </cfRule>
    <cfRule type="expression" dxfId="240" priority="311">
      <formula>$I5="预验收/组装调试"</formula>
    </cfRule>
    <cfRule type="expression" dxfId="239" priority="312">
      <formula>$I5="设备采购"</formula>
    </cfRule>
    <cfRule type="expression" dxfId="238" priority="315">
      <formula>$I5="设备验收"</formula>
    </cfRule>
    <cfRule type="expression" dxfId="237" priority="316">
      <formula>$I5="设备接收"</formula>
    </cfRule>
  </conditionalFormatting>
  <conditionalFormatting sqref="AA5:AA8">
    <cfRule type="expression" dxfId="236" priority="307">
      <formula>$I5="设备验收"</formula>
    </cfRule>
    <cfRule type="expression" dxfId="235" priority="308">
      <formula>$I5="完成"</formula>
    </cfRule>
  </conditionalFormatting>
  <conditionalFormatting sqref="AB5:AB8">
    <cfRule type="expression" dxfId="234" priority="304">
      <formula>$I5="设备验收"</formula>
    </cfRule>
    <cfRule type="expression" dxfId="233" priority="305">
      <formula>$I5="完成"</formula>
    </cfRule>
  </conditionalFormatting>
  <conditionalFormatting sqref="AC5:AC8">
    <cfRule type="expression" dxfId="232" priority="301">
      <formula>$I5="设备验收"</formula>
    </cfRule>
    <cfRule type="expression" dxfId="231" priority="302">
      <formula>$I5="完成"</formula>
    </cfRule>
  </conditionalFormatting>
  <conditionalFormatting sqref="AD5:AD8">
    <cfRule type="expression" dxfId="230" priority="298">
      <formula>$I5="设备验收"</formula>
    </cfRule>
    <cfRule type="expression" dxfId="229" priority="299">
      <formula>$I5="完成"</formula>
    </cfRule>
  </conditionalFormatting>
  <conditionalFormatting sqref="AF5:AG121">
    <cfRule type="expression" dxfId="228" priority="293">
      <formula>$I5="完成"</formula>
    </cfRule>
  </conditionalFormatting>
  <conditionalFormatting sqref="P5:P30 P32:P58 P60:P121">
    <cfRule type="expression" dxfId="227" priority="289">
      <formula>$I5="项目需求"</formula>
    </cfRule>
  </conditionalFormatting>
  <conditionalFormatting sqref="P5:P30 P32:P58 P60:P121">
    <cfRule type="expression" dxfId="226" priority="283">
      <formula>$I5="完成"</formula>
    </cfRule>
    <cfRule type="expression" dxfId="225" priority="284">
      <formula>$I5="设备验收"</formula>
    </cfRule>
    <cfRule type="expression" dxfId="224" priority="285">
      <formula>$I5="设备接收"</formula>
    </cfRule>
    <cfRule type="expression" dxfId="223" priority="286">
      <formula>$I5="预验收/组装调试"</formula>
    </cfRule>
    <cfRule type="expression" dxfId="222" priority="287">
      <formula>$I5="方案评审"</formula>
    </cfRule>
    <cfRule type="expression" dxfId="221" priority="288">
      <formula>$I5="立项评审"</formula>
    </cfRule>
    <cfRule type="expression" dxfId="220" priority="291">
      <formula>$I5="设备采购"</formula>
    </cfRule>
  </conditionalFormatting>
  <conditionalFormatting sqref="L5:L30 L60:L84 L32:L58 L90:L121">
    <cfRule type="expression" dxfId="219" priority="273">
      <formula>$I5="完成"</formula>
    </cfRule>
    <cfRule type="expression" dxfId="218" priority="274">
      <formula>$I5="设备验收"</formula>
    </cfRule>
    <cfRule type="expression" dxfId="217" priority="275">
      <formula>$I5="设备接收"</formula>
    </cfRule>
    <cfRule type="expression" dxfId="216" priority="276">
      <formula>$I5="预验收/组装调试"</formula>
    </cfRule>
    <cfRule type="expression" dxfId="215" priority="280">
      <formula>$I5="设备采购"</formula>
    </cfRule>
  </conditionalFormatting>
  <conditionalFormatting sqref="M1 M3:M30 M32:M38 M40:M58 M60:M1048576">
    <cfRule type="cellIs" dxfId="214" priority="272" operator="equal">
      <formula>"暂停"</formula>
    </cfRule>
  </conditionalFormatting>
  <conditionalFormatting sqref="O27">
    <cfRule type="expression" dxfId="213" priority="264">
      <formula>$I27="完成"</formula>
    </cfRule>
    <cfRule type="expression" dxfId="212" priority="265">
      <formula>$I27="设备验收"</formula>
    </cfRule>
    <cfRule type="expression" dxfId="211" priority="266">
      <formula>$I27="设备接收"</formula>
    </cfRule>
    <cfRule type="expression" dxfId="210" priority="267">
      <formula>$I27="预验收"</formula>
    </cfRule>
    <cfRule type="expression" dxfId="209" priority="268">
      <formula>$I27="设备采购"</formula>
    </cfRule>
    <cfRule type="expression" dxfId="208" priority="269">
      <formula>$I27="方案评审"</formula>
    </cfRule>
    <cfRule type="expression" dxfId="207" priority="270">
      <formula>$I27="立项评审"</formula>
    </cfRule>
  </conditionalFormatting>
  <conditionalFormatting sqref="AF5:AG121">
    <cfRule type="expression" dxfId="206" priority="263">
      <formula>$M5="已完成"</formula>
    </cfRule>
  </conditionalFormatting>
  <conditionalFormatting sqref="U5">
    <cfRule type="expression" dxfId="205" priority="262">
      <formula>$I5="方案评审"</formula>
    </cfRule>
  </conditionalFormatting>
  <conditionalFormatting sqref="V5:V8 V10:V58 V60:V121">
    <cfRule type="expression" dxfId="204" priority="257">
      <formula>$I5="设备采购"</formula>
    </cfRule>
    <cfRule type="expression" dxfId="203" priority="258">
      <formula>$I5="预验收/组装调试"</formula>
    </cfRule>
    <cfRule type="expression" dxfId="202" priority="259">
      <formula>$I5="设备接收"</formula>
    </cfRule>
    <cfRule type="expression" dxfId="201" priority="260">
      <formula>$I5="设备验收"</formula>
    </cfRule>
    <cfRule type="expression" dxfId="200" priority="261">
      <formula>$I5="完成"</formula>
    </cfRule>
  </conditionalFormatting>
  <conditionalFormatting sqref="W9">
    <cfRule type="expression" dxfId="199" priority="253">
      <formula>$I9="设备接收"</formula>
    </cfRule>
    <cfRule type="expression" dxfId="198" priority="254">
      <formula>$I9="完成"</formula>
    </cfRule>
    <cfRule type="expression" dxfId="197" priority="255">
      <formula>$I9="预验收"</formula>
    </cfRule>
    <cfRule type="expression" dxfId="196" priority="256">
      <formula>$I9="设备验收"</formula>
    </cfRule>
  </conditionalFormatting>
  <conditionalFormatting sqref="X9">
    <cfRule type="expression" dxfId="195" priority="249">
      <formula>$I9="设备验收"</formula>
    </cfRule>
    <cfRule type="expression" dxfId="194" priority="250">
      <formula>$I9="设备接收"</formula>
    </cfRule>
    <cfRule type="expression" dxfId="193" priority="251">
      <formula>$I9="完成"</formula>
    </cfRule>
    <cfRule type="expression" dxfId="192" priority="252">
      <formula>$I9="预验收"</formula>
    </cfRule>
  </conditionalFormatting>
  <conditionalFormatting sqref="Y9">
    <cfRule type="expression" dxfId="191" priority="246">
      <formula>$I9="设备验收"</formula>
    </cfRule>
    <cfRule type="expression" dxfId="190" priority="247">
      <formula>$I9="设备接收"</formula>
    </cfRule>
    <cfRule type="expression" dxfId="189" priority="248">
      <formula>$I9="完成"</formula>
    </cfRule>
  </conditionalFormatting>
  <conditionalFormatting sqref="Z9">
    <cfRule type="expression" dxfId="188" priority="244">
      <formula>$I9="设备验收"</formula>
    </cfRule>
    <cfRule type="expression" dxfId="187" priority="245">
      <formula>$I9="完成"</formula>
    </cfRule>
  </conditionalFormatting>
  <conditionalFormatting sqref="T9">
    <cfRule type="expression" dxfId="186" priority="238">
      <formula>$I9="完成"</formula>
    </cfRule>
    <cfRule type="expression" dxfId="185" priority="239">
      <formula>$I9="预验收"</formula>
    </cfRule>
    <cfRule type="expression" dxfId="184" priority="240">
      <formula>$I9="设备采购"</formula>
    </cfRule>
    <cfRule type="expression" dxfId="183" priority="241">
      <formula>$I9="方案评审"</formula>
    </cfRule>
    <cfRule type="expression" dxfId="182" priority="242">
      <formula>$I9="设备验收"</formula>
    </cfRule>
    <cfRule type="expression" dxfId="181" priority="243">
      <formula>$I9="设备接收"</formula>
    </cfRule>
  </conditionalFormatting>
  <conditionalFormatting sqref="U9">
    <cfRule type="expression" dxfId="180" priority="233">
      <formula>$I9="完成"</formula>
    </cfRule>
    <cfRule type="expression" dxfId="179" priority="234">
      <formula>$I9="预验收"</formula>
    </cfRule>
    <cfRule type="expression" dxfId="178" priority="235">
      <formula>$I9="设备采购"</formula>
    </cfRule>
    <cfRule type="expression" dxfId="177" priority="236">
      <formula>$I9="设备验收"</formula>
    </cfRule>
    <cfRule type="expression" dxfId="176" priority="237">
      <formula>$I9="设备接收"</formula>
    </cfRule>
  </conditionalFormatting>
  <conditionalFormatting sqref="AA9">
    <cfRule type="expression" dxfId="175" priority="231">
      <formula>$I9="设备验收"</formula>
    </cfRule>
    <cfRule type="expression" dxfId="174" priority="232">
      <formula>$I9="完成"</formula>
    </cfRule>
  </conditionalFormatting>
  <conditionalFormatting sqref="AB9">
    <cfRule type="expression" dxfId="173" priority="229">
      <formula>$I9="设备验收"</formula>
    </cfRule>
    <cfRule type="expression" dxfId="172" priority="230">
      <formula>$I9="完成"</formula>
    </cfRule>
  </conditionalFormatting>
  <conditionalFormatting sqref="AC9">
    <cfRule type="expression" dxfId="171" priority="227">
      <formula>$I9="设备验收"</formula>
    </cfRule>
    <cfRule type="expression" dxfId="170" priority="228">
      <formula>$I9="完成"</formula>
    </cfRule>
  </conditionalFormatting>
  <conditionalFormatting sqref="AD9">
    <cfRule type="expression" dxfId="169" priority="225">
      <formula>$I9="设备验收"</formula>
    </cfRule>
    <cfRule type="expression" dxfId="168" priority="226">
      <formula>$I9="完成"</formula>
    </cfRule>
  </conditionalFormatting>
  <conditionalFormatting sqref="V9">
    <cfRule type="expression" dxfId="167" priority="220">
      <formula>$I9="设备采购"</formula>
    </cfRule>
    <cfRule type="expression" dxfId="166" priority="221">
      <formula>$I9="预验收"</formula>
    </cfRule>
    <cfRule type="expression" dxfId="165" priority="222">
      <formula>$I9="设备接收"</formula>
    </cfRule>
    <cfRule type="expression" dxfId="164" priority="223">
      <formula>$I9="设备验收"</formula>
    </cfRule>
    <cfRule type="expression" dxfId="163" priority="224">
      <formula>$I9="完成"</formula>
    </cfRule>
  </conditionalFormatting>
  <conditionalFormatting sqref="O26">
    <cfRule type="expression" dxfId="162" priority="206">
      <formula>$I26="完成"</formula>
    </cfRule>
    <cfRule type="expression" dxfId="161" priority="207">
      <formula>$I26="设备验收"</formula>
    </cfRule>
    <cfRule type="expression" dxfId="160" priority="208">
      <formula>$I26="设备接收"</formula>
    </cfRule>
    <cfRule type="expression" dxfId="159" priority="209">
      <formula>$I26="预验收"</formula>
    </cfRule>
    <cfRule type="expression" dxfId="158" priority="210">
      <formula>$I26="设备采购"</formula>
    </cfRule>
    <cfRule type="expression" dxfId="157" priority="211">
      <formula>$I26="方案评审"</formula>
    </cfRule>
    <cfRule type="expression" dxfId="156" priority="212">
      <formula>$I26="立项评审"</formula>
    </cfRule>
  </conditionalFormatting>
  <conditionalFormatting sqref="O8">
    <cfRule type="expression" dxfId="155" priority="199">
      <formula>$I8="完成"</formula>
    </cfRule>
    <cfRule type="expression" dxfId="154" priority="200">
      <formula>$I8="设备验收"</formula>
    </cfRule>
    <cfRule type="expression" dxfId="153" priority="201">
      <formula>$I8="设备接收"</formula>
    </cfRule>
    <cfRule type="expression" dxfId="152" priority="202">
      <formula>$I8="预验收"</formula>
    </cfRule>
    <cfRule type="expression" dxfId="151" priority="203">
      <formula>$I8="设备采购"</formula>
    </cfRule>
    <cfRule type="expression" dxfId="150" priority="204">
      <formula>$I8="方案评审"</formula>
    </cfRule>
    <cfRule type="expression" dxfId="149" priority="205">
      <formula>$I8="立项评审"</formula>
    </cfRule>
  </conditionalFormatting>
  <conditionalFormatting sqref="O6">
    <cfRule type="expression" dxfId="148" priority="192">
      <formula>$I6="完成"</formula>
    </cfRule>
    <cfRule type="expression" dxfId="147" priority="193">
      <formula>$I6="设备验收"</formula>
    </cfRule>
    <cfRule type="expression" dxfId="146" priority="194">
      <formula>$I6="设备接收"</formula>
    </cfRule>
    <cfRule type="expression" dxfId="145" priority="195">
      <formula>$I6="预验收"</formula>
    </cfRule>
    <cfRule type="expression" dxfId="144" priority="196">
      <formula>$I6="设备采购"</formula>
    </cfRule>
    <cfRule type="expression" dxfId="143" priority="197">
      <formula>$I6="方案评审"</formula>
    </cfRule>
    <cfRule type="expression" dxfId="142" priority="198">
      <formula>$I6="立项评审"</formula>
    </cfRule>
  </conditionalFormatting>
  <conditionalFormatting sqref="O25">
    <cfRule type="expression" dxfId="141" priority="185">
      <formula>$I25="完成"</formula>
    </cfRule>
    <cfRule type="expression" dxfId="140" priority="186">
      <formula>$I25="设备验收"</formula>
    </cfRule>
    <cfRule type="expression" dxfId="139" priority="187">
      <formula>$I25="设备接收"</formula>
    </cfRule>
    <cfRule type="expression" dxfId="138" priority="188">
      <formula>$I25="预验收"</formula>
    </cfRule>
    <cfRule type="expression" dxfId="137" priority="189">
      <formula>$I25="设备采购"</formula>
    </cfRule>
    <cfRule type="expression" dxfId="136" priority="190">
      <formula>$I25="方案评审"</formula>
    </cfRule>
    <cfRule type="expression" dxfId="135" priority="191">
      <formula>$I25="立项评审"</formula>
    </cfRule>
  </conditionalFormatting>
  <conditionalFormatting sqref="W28">
    <cfRule type="expression" dxfId="134" priority="181">
      <formula>$I28="设备接收"</formula>
    </cfRule>
    <cfRule type="expression" dxfId="133" priority="182">
      <formula>$I28="完成"</formula>
    </cfRule>
    <cfRule type="expression" dxfId="132" priority="183">
      <formula>$I28="预验收"</formula>
    </cfRule>
    <cfRule type="expression" dxfId="131" priority="184">
      <formula>$I28="设备验收"</formula>
    </cfRule>
  </conditionalFormatting>
  <conditionalFormatting sqref="X28">
    <cfRule type="expression" dxfId="130" priority="177">
      <formula>$I28="设备验收"</formula>
    </cfRule>
    <cfRule type="expression" dxfId="129" priority="178">
      <formula>$I28="设备接收"</formula>
    </cfRule>
    <cfRule type="expression" dxfId="128" priority="179">
      <formula>$I28="完成"</formula>
    </cfRule>
    <cfRule type="expression" dxfId="127" priority="180">
      <formula>$I28="预验收"</formula>
    </cfRule>
  </conditionalFormatting>
  <conditionalFormatting sqref="O31">
    <cfRule type="expression" dxfId="126" priority="170">
      <formula>$I31="完成"</formula>
    </cfRule>
    <cfRule type="expression" dxfId="125" priority="171">
      <formula>$I31="设备验收"</formula>
    </cfRule>
    <cfRule type="expression" dxfId="124" priority="172">
      <formula>$I31="设备接收"</formula>
    </cfRule>
    <cfRule type="expression" dxfId="123" priority="173">
      <formula>$I31="预验收"</formula>
    </cfRule>
    <cfRule type="expression" dxfId="122" priority="174">
      <formula>$I31="设备采购"</formula>
    </cfRule>
    <cfRule type="expression" dxfId="121" priority="175">
      <formula>$I31="方案评审"</formula>
    </cfRule>
    <cfRule type="expression" dxfId="120" priority="176">
      <formula>$I31="立项评审"</formula>
    </cfRule>
  </conditionalFormatting>
  <conditionalFormatting sqref="S31:T31">
    <cfRule type="expression" dxfId="119" priority="164">
      <formula>$I31="完成"</formula>
    </cfRule>
    <cfRule type="expression" dxfId="118" priority="165">
      <formula>$I31="预验收"</formula>
    </cfRule>
    <cfRule type="expression" dxfId="117" priority="166">
      <formula>$I31="设备采购"</formula>
    </cfRule>
    <cfRule type="expression" dxfId="116" priority="167">
      <formula>$I31="方案评审"</formula>
    </cfRule>
    <cfRule type="expression" dxfId="115" priority="168">
      <formula>$I31="设备验收"</formula>
    </cfRule>
    <cfRule type="expression" dxfId="114" priority="169">
      <formula>$I31="设备接收"</formula>
    </cfRule>
  </conditionalFormatting>
  <conditionalFormatting sqref="P31">
    <cfRule type="expression" dxfId="113" priority="162">
      <formula>$I31="项目需求"</formula>
    </cfRule>
  </conditionalFormatting>
  <conditionalFormatting sqref="P31">
    <cfRule type="expression" dxfId="112" priority="156">
      <formula>$I31="完成"</formula>
    </cfRule>
    <cfRule type="expression" dxfId="111" priority="157">
      <formula>$I31="设备验收"</formula>
    </cfRule>
    <cfRule type="expression" dxfId="110" priority="158">
      <formula>$I31="设备接收"</formula>
    </cfRule>
    <cfRule type="expression" dxfId="109" priority="159">
      <formula>$I31="预验收"</formula>
    </cfRule>
    <cfRule type="expression" dxfId="108" priority="160">
      <formula>$I31="方案评审"</formula>
    </cfRule>
    <cfRule type="expression" dxfId="107" priority="161">
      <formula>$I31="立项评审"</formula>
    </cfRule>
    <cfRule type="expression" dxfId="106" priority="163">
      <formula>$I31="设备采购"</formula>
    </cfRule>
  </conditionalFormatting>
  <conditionalFormatting sqref="L31">
    <cfRule type="expression" dxfId="105" priority="151">
      <formula>$I31="完成"</formula>
    </cfRule>
    <cfRule type="expression" dxfId="104" priority="152">
      <formula>$I31="设备验收"</formula>
    </cfRule>
    <cfRule type="expression" dxfId="103" priority="153">
      <formula>$I31="设备接收"</formula>
    </cfRule>
    <cfRule type="expression" dxfId="102" priority="154">
      <formula>$I31="预验收"</formula>
    </cfRule>
    <cfRule type="expression" dxfId="101" priority="155">
      <formula>$I31="设备采购"</formula>
    </cfRule>
  </conditionalFormatting>
  <conditionalFormatting sqref="M31">
    <cfRule type="cellIs" dxfId="100" priority="150" operator="equal">
      <formula>"暂停"</formula>
    </cfRule>
  </conditionalFormatting>
  <conditionalFormatting sqref="M39">
    <cfRule type="cellIs" dxfId="99" priority="110" operator="equal">
      <formula>"暂停"</formula>
    </cfRule>
  </conditionalFormatting>
  <conditionalFormatting sqref="O39">
    <cfRule type="expression" dxfId="98" priority="98">
      <formula>$I39="完成"</formula>
    </cfRule>
    <cfRule type="expression" dxfId="97" priority="99">
      <formula>$I39="设备验收"</formula>
    </cfRule>
    <cfRule type="expression" dxfId="96" priority="100">
      <formula>$I39="设备接收"</formula>
    </cfRule>
    <cfRule type="expression" dxfId="95" priority="101">
      <formula>$I39="预验收"</formula>
    </cfRule>
    <cfRule type="expression" dxfId="94" priority="102">
      <formula>$I39="设备采购"</formula>
    </cfRule>
    <cfRule type="expression" dxfId="93" priority="103">
      <formula>$I39="方案评审"</formula>
    </cfRule>
    <cfRule type="expression" dxfId="92" priority="104">
      <formula>$I39="立项评审"</formula>
    </cfRule>
  </conditionalFormatting>
  <conditionalFormatting sqref="O4:AG4">
    <cfRule type="expression" dxfId="91" priority="96">
      <formula>$G$4="非标外购"</formula>
    </cfRule>
  </conditionalFormatting>
  <conditionalFormatting sqref="O4:P4 R4 T4:V4 Z4:AG4">
    <cfRule type="expression" dxfId="90" priority="95">
      <formula>$G$4="非标自制"</formula>
    </cfRule>
  </conditionalFormatting>
  <conditionalFormatting sqref="O4:P4 R4 T4:U4 Z4:AG4">
    <cfRule type="expression" dxfId="89" priority="94">
      <formula>$G$4="标准外购"</formula>
    </cfRule>
  </conditionalFormatting>
  <conditionalFormatting sqref="G4">
    <cfRule type="cellIs" dxfId="88" priority="91" operator="equal">
      <formula>"非标外购"</formula>
    </cfRule>
    <cfRule type="cellIs" dxfId="87" priority="92" operator="equal">
      <formula>"非标自制"</formula>
    </cfRule>
    <cfRule type="cellIs" dxfId="86" priority="93" operator="equal">
      <formula>"标准外购"</formula>
    </cfRule>
  </conditionalFormatting>
  <conditionalFormatting sqref="O44">
    <cfRule type="expression" dxfId="85" priority="84">
      <formula>$I44="完成"</formula>
    </cfRule>
    <cfRule type="expression" dxfId="84" priority="85">
      <formula>$I44="设备验收"</formula>
    </cfRule>
    <cfRule type="expression" dxfId="83" priority="86">
      <formula>$I44="设备接收"</formula>
    </cfRule>
    <cfRule type="expression" dxfId="82" priority="87">
      <formula>$I44="预验收/组装调试"</formula>
    </cfRule>
    <cfRule type="expression" dxfId="81" priority="88">
      <formula>$I44="设备采购"</formula>
    </cfRule>
    <cfRule type="expression" dxfId="80" priority="89">
      <formula>$I44="方案评审"</formula>
    </cfRule>
    <cfRule type="expression" dxfId="79" priority="90">
      <formula>$I44="立项评审"</formula>
    </cfRule>
  </conditionalFormatting>
  <conditionalFormatting sqref="O59 Q59:R59">
    <cfRule type="expression" dxfId="78" priority="77">
      <formula>$I59="完成"</formula>
    </cfRule>
    <cfRule type="expression" dxfId="77" priority="78">
      <formula>$I59="设备验收"</formula>
    </cfRule>
    <cfRule type="expression" dxfId="76" priority="79">
      <formula>$I59="设备接收"</formula>
    </cfRule>
    <cfRule type="expression" dxfId="75" priority="80">
      <formula>$I59="预验收/组装调试"</formula>
    </cfRule>
    <cfRule type="expression" dxfId="74" priority="81">
      <formula>$I59="设备采购"</formula>
    </cfRule>
    <cfRule type="expression" dxfId="73" priority="82">
      <formula>$I59="方案评审"</formula>
    </cfRule>
    <cfRule type="expression" dxfId="72" priority="83">
      <formula>$I59="立项评审"</formula>
    </cfRule>
  </conditionalFormatting>
  <conditionalFormatting sqref="S59:T59">
    <cfRule type="expression" dxfId="71" priority="71">
      <formula>$I59="完成"</formula>
    </cfRule>
    <cfRule type="expression" dxfId="70" priority="72">
      <formula>$I59="预验收/组装调试"</formula>
    </cfRule>
    <cfRule type="expression" dxfId="69" priority="73">
      <formula>$I59="设备采购"</formula>
    </cfRule>
    <cfRule type="expression" dxfId="68" priority="74">
      <formula>$I59="方案评审"</formula>
    </cfRule>
    <cfRule type="expression" dxfId="67" priority="75">
      <formula>$I59="设备验收"</formula>
    </cfRule>
    <cfRule type="expression" dxfId="66" priority="76">
      <formula>$I59="设备接收"</formula>
    </cfRule>
  </conditionalFormatting>
  <conditionalFormatting sqref="U59">
    <cfRule type="expression" dxfId="65" priority="66">
      <formula>$I59="完成"</formula>
    </cfRule>
    <cfRule type="expression" dxfId="64" priority="67">
      <formula>$I59="预验收/组装调试"</formula>
    </cfRule>
    <cfRule type="expression" dxfId="63" priority="68">
      <formula>$I59="设备采购"</formula>
    </cfRule>
    <cfRule type="expression" dxfId="62" priority="69">
      <formula>$I59="设备验收"</formula>
    </cfRule>
    <cfRule type="expression" dxfId="61" priority="70">
      <formula>$I59="设备接收"</formula>
    </cfRule>
  </conditionalFormatting>
  <conditionalFormatting sqref="P59">
    <cfRule type="expression" dxfId="60" priority="64">
      <formula>$I59="项目需求"</formula>
    </cfRule>
  </conditionalFormatting>
  <conditionalFormatting sqref="P59">
    <cfRule type="expression" dxfId="59" priority="58">
      <formula>$I59="完成"</formula>
    </cfRule>
    <cfRule type="expression" dxfId="58" priority="59">
      <formula>$I59="设备验收"</formula>
    </cfRule>
    <cfRule type="expression" dxfId="57" priority="60">
      <formula>$I59="设备接收"</formula>
    </cfRule>
    <cfRule type="expression" dxfId="56" priority="61">
      <formula>$I59="预验收/组装调试"</formula>
    </cfRule>
    <cfRule type="expression" dxfId="55" priority="62">
      <formula>$I59="方案评审"</formula>
    </cfRule>
    <cfRule type="expression" dxfId="54" priority="63">
      <formula>$I59="立项评审"</formula>
    </cfRule>
    <cfRule type="expression" dxfId="53" priority="65">
      <formula>$I59="设备采购"</formula>
    </cfRule>
  </conditionalFormatting>
  <conditionalFormatting sqref="L59">
    <cfRule type="expression" dxfId="52" priority="53">
      <formula>$I59="完成"</formula>
    </cfRule>
    <cfRule type="expression" dxfId="51" priority="54">
      <formula>$I59="设备验收"</formula>
    </cfRule>
    <cfRule type="expression" dxfId="50" priority="55">
      <formula>$I59="设备接收"</formula>
    </cfRule>
    <cfRule type="expression" dxfId="49" priority="56">
      <formula>$I59="预验收/组装调试"</formula>
    </cfRule>
    <cfRule type="expression" dxfId="48" priority="57">
      <formula>$I59="设备采购"</formula>
    </cfRule>
  </conditionalFormatting>
  <conditionalFormatting sqref="M59">
    <cfRule type="cellIs" dxfId="47" priority="52" operator="equal">
      <formula>"暂停"</formula>
    </cfRule>
  </conditionalFormatting>
  <conditionalFormatting sqref="V59">
    <cfRule type="expression" dxfId="46" priority="47">
      <formula>$I59="设备采购"</formula>
    </cfRule>
    <cfRule type="expression" dxfId="45" priority="48">
      <formula>$I59="预验收/组装调试"</formula>
    </cfRule>
    <cfRule type="expression" dxfId="44" priority="49">
      <formula>$I59="设备接收"</formula>
    </cfRule>
    <cfRule type="expression" dxfId="43" priority="50">
      <formula>$I59="设备验收"</formula>
    </cfRule>
    <cfRule type="expression" dxfId="42" priority="51">
      <formula>$I59="完成"</formula>
    </cfRule>
  </conditionalFormatting>
  <conditionalFormatting sqref="M1:M1048576">
    <cfRule type="cellIs" dxfId="41" priority="46" operator="equal">
      <formula>"已完成"</formula>
    </cfRule>
  </conditionalFormatting>
  <conditionalFormatting sqref="Z42:Z44">
    <cfRule type="expression" dxfId="40" priority="43">
      <formula>$I42="设备验收"</formula>
    </cfRule>
    <cfRule type="expression" dxfId="39" priority="44">
      <formula>$I42="设备接收"</formula>
    </cfRule>
    <cfRule type="expression" dxfId="38" priority="45">
      <formula>$I42="完成"</formula>
    </cfRule>
  </conditionalFormatting>
  <conditionalFormatting sqref="AD44:AE44 AD42:AE42">
    <cfRule type="expression" dxfId="37" priority="42">
      <formula>$I42="完成"</formula>
    </cfRule>
  </conditionalFormatting>
  <conditionalFormatting sqref="AD44:AE44 AD42:AE42">
    <cfRule type="expression" dxfId="36" priority="41">
      <formula>$M42="已完成"</formula>
    </cfRule>
  </conditionalFormatting>
  <conditionalFormatting sqref="W48:Z48">
    <cfRule type="expression" dxfId="35" priority="36">
      <formula>$I48="完成"</formula>
    </cfRule>
  </conditionalFormatting>
  <conditionalFormatting sqref="W48:Z48">
    <cfRule type="expression" dxfId="34" priority="35">
      <formula>$M48="已完成"</formula>
    </cfRule>
  </conditionalFormatting>
  <conditionalFormatting sqref="AD48:AE48">
    <cfRule type="expression" dxfId="33" priority="34">
      <formula>$I48="完成"</formula>
    </cfRule>
  </conditionalFormatting>
  <conditionalFormatting sqref="AD48:AE48">
    <cfRule type="expression" dxfId="32" priority="33">
      <formula>$M48="已完成"</formula>
    </cfRule>
  </conditionalFormatting>
  <conditionalFormatting sqref="K56">
    <cfRule type="expression" dxfId="31" priority="28">
      <formula>$I56="完成"</formula>
    </cfRule>
    <cfRule type="expression" dxfId="30" priority="29">
      <formula>$I56="设备验收"</formula>
    </cfRule>
    <cfRule type="expression" dxfId="29" priority="30">
      <formula>$I56="设备接收"</formula>
    </cfRule>
    <cfRule type="expression" dxfId="28" priority="31">
      <formula>$I56="预验收/组装调试"</formula>
    </cfRule>
    <cfRule type="expression" dxfId="27" priority="32">
      <formula>$I56="设备采购"</formula>
    </cfRule>
  </conditionalFormatting>
  <conditionalFormatting sqref="O65:O71">
    <cfRule type="expression" dxfId="26" priority="21">
      <formula>$I65="完成"</formula>
    </cfRule>
    <cfRule type="expression" dxfId="25" priority="22">
      <formula>$I65="设备验收"</formula>
    </cfRule>
    <cfRule type="expression" dxfId="24" priority="23">
      <formula>$I65="设备接收"</formula>
    </cfRule>
    <cfRule type="expression" dxfId="23" priority="24">
      <formula>$I65="预验收/组装调试"</formula>
    </cfRule>
    <cfRule type="expression" dxfId="22" priority="25">
      <formula>$I65="设备采购"</formula>
    </cfRule>
    <cfRule type="expression" dxfId="21" priority="26">
      <formula>$I65="方案评审"</formula>
    </cfRule>
    <cfRule type="expression" dxfId="20" priority="27">
      <formula>$I65="立项评审"</formula>
    </cfRule>
  </conditionalFormatting>
  <conditionalFormatting sqref="U78:U83">
    <cfRule type="expression" dxfId="19" priority="15">
      <formula>$I78="完成"</formula>
    </cfRule>
    <cfRule type="expression" dxfId="18" priority="16">
      <formula>$I78="预验收/组装调试"</formula>
    </cfRule>
    <cfRule type="expression" dxfId="17" priority="17">
      <formula>$I78="设备采购"</formula>
    </cfRule>
    <cfRule type="expression" dxfId="16" priority="18">
      <formula>$I78="方案评审"</formula>
    </cfRule>
    <cfRule type="expression" dxfId="15" priority="19">
      <formula>$I78="设备验收"</formula>
    </cfRule>
    <cfRule type="expression" dxfId="14" priority="20">
      <formula>$I78="设备接收"</formula>
    </cfRule>
  </conditionalFormatting>
  <conditionalFormatting sqref="S77:U77">
    <cfRule type="expression" dxfId="13" priority="8">
      <formula>$I77="完成"</formula>
    </cfRule>
    <cfRule type="expression" dxfId="12" priority="9">
      <formula>$I77="设备验收"</formula>
    </cfRule>
    <cfRule type="expression" dxfId="11" priority="10">
      <formula>$I77="设备接收"</formula>
    </cfRule>
    <cfRule type="expression" dxfId="10" priority="11">
      <formula>$I77="预验收/组装调试"</formula>
    </cfRule>
    <cfRule type="expression" dxfId="9" priority="12">
      <formula>$I77="设备采购"</formula>
    </cfRule>
    <cfRule type="expression" dxfId="8" priority="13">
      <formula>$I77="方案评审"</formula>
    </cfRule>
    <cfRule type="expression" dxfId="7" priority="14">
      <formula>$I77="立项评审"</formula>
    </cfRule>
  </conditionalFormatting>
  <conditionalFormatting sqref="O90">
    <cfRule type="expression" dxfId="6" priority="1">
      <formula>$I90="完成"</formula>
    </cfRule>
    <cfRule type="expression" dxfId="5" priority="2">
      <formula>$I90="设备验收"</formula>
    </cfRule>
    <cfRule type="expression" dxfId="4" priority="3">
      <formula>$I90="设备接收"</formula>
    </cfRule>
    <cfRule type="expression" dxfId="3" priority="4">
      <formula>$I90="预验收/组装调试"</formula>
    </cfRule>
    <cfRule type="expression" dxfId="2" priority="5">
      <formula>$I90="设备采购"</formula>
    </cfRule>
    <cfRule type="expression" dxfId="1" priority="6">
      <formula>$I90="方案评审"</formula>
    </cfRule>
    <cfRule type="expression" dxfId="0" priority="7">
      <formula>$I90="立项评审"</formula>
    </cfRule>
  </conditionalFormatting>
  <dataValidations count="5">
    <dataValidation type="list" allowBlank="1" showInputMessage="1" showErrorMessage="1" sqref="M1 M5:M1048576">
      <formula1>"未启动,进行中,暂停,已完成"</formula1>
    </dataValidation>
    <dataValidation type="list" allowBlank="1" showInputMessage="1" showErrorMessage="1" sqref="AH122:AH1048576 P1:AD1 AF5:AG1048576 AF1:AH1 AI1:AI1048576 AE42 AE44 AE48 P5:AD1048576">
      <formula1>"√,/"</formula1>
    </dataValidation>
    <dataValidation type="list" allowBlank="1" showInputMessage="1" showErrorMessage="1" sqref="H1:H2 H5:H1048576 G85:G89">
      <formula1>"新增,改善,复制"</formula1>
    </dataValidation>
    <dataValidation type="list" allowBlank="1" showInputMessage="1" showErrorMessage="1" sqref="G1:G2 G4:G84 G90:G1048576">
      <formula1>"非标外购,非标自制,标准外购"</formula1>
    </dataValidation>
    <dataValidation type="list" allowBlank="1" showInputMessage="1" showErrorMessage="1" sqref="I1:I1048576">
      <formula1>"项目需求,立项评审,方案评审,设备采购,预验收/组装调试,设备验收,完成"</formula1>
    </dataValidation>
  </dataValidations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"/>
  <sheetViews>
    <sheetView workbookViewId="0">
      <selection activeCell="C21" sqref="C21"/>
    </sheetView>
  </sheetViews>
  <sheetFormatPr defaultRowHeight="13.5" x14ac:dyDescent="0.15"/>
  <cols>
    <col min="1" max="1" width="6.625" style="1" customWidth="1"/>
    <col min="2" max="2" width="16.75" style="1" customWidth="1"/>
    <col min="3" max="3" width="9.75" style="1" customWidth="1"/>
    <col min="4" max="11" width="10.5" style="1" bestFit="1" customWidth="1"/>
    <col min="12" max="12" width="34.875" style="1" customWidth="1"/>
    <col min="13" max="16384" width="9" style="1"/>
  </cols>
  <sheetData>
    <row r="1" spans="1:12" ht="21.75" customHeight="1" x14ac:dyDescent="0.15">
      <c r="A1" s="141" t="s">
        <v>181</v>
      </c>
      <c r="B1" s="141" t="s">
        <v>172</v>
      </c>
      <c r="C1" s="141" t="s">
        <v>182</v>
      </c>
      <c r="D1" s="138" t="s">
        <v>2</v>
      </c>
      <c r="E1" s="139"/>
      <c r="F1" s="139"/>
      <c r="G1" s="139"/>
      <c r="H1" s="139"/>
      <c r="I1" s="139"/>
      <c r="J1" s="139"/>
      <c r="K1" s="140"/>
    </row>
    <row r="2" spans="1:12" ht="21.75" customHeight="1" x14ac:dyDescent="0.15">
      <c r="A2" s="141"/>
      <c r="B2" s="141"/>
      <c r="C2" s="141"/>
      <c r="D2" s="7" t="s">
        <v>173</v>
      </c>
      <c r="E2" s="7" t="s">
        <v>174</v>
      </c>
      <c r="F2" s="7" t="s">
        <v>175</v>
      </c>
      <c r="G2" s="7" t="s">
        <v>176</v>
      </c>
      <c r="H2" s="7" t="s">
        <v>177</v>
      </c>
      <c r="I2" s="7" t="s">
        <v>178</v>
      </c>
      <c r="J2" s="7" t="s">
        <v>179</v>
      </c>
      <c r="K2" s="7" t="s">
        <v>180</v>
      </c>
      <c r="L2" s="1" t="s">
        <v>187</v>
      </c>
    </row>
    <row r="3" spans="1:12" ht="21.75" customHeight="1" x14ac:dyDescent="0.15">
      <c r="A3" s="136">
        <v>1</v>
      </c>
      <c r="B3" s="136" t="s">
        <v>185</v>
      </c>
      <c r="C3" s="7" t="s">
        <v>183</v>
      </c>
      <c r="D3" s="70">
        <v>45345</v>
      </c>
      <c r="E3" s="70">
        <v>45363</v>
      </c>
      <c r="F3" s="70">
        <v>45373</v>
      </c>
      <c r="G3" s="70">
        <v>45402</v>
      </c>
      <c r="H3" s="70">
        <v>45444</v>
      </c>
      <c r="I3" s="70">
        <v>45453</v>
      </c>
      <c r="J3" s="70">
        <v>45469</v>
      </c>
      <c r="K3" s="70">
        <v>45484</v>
      </c>
      <c r="L3" s="72">
        <f t="shared" ref="L3:L8" si="0">COUNTA(D3:K3)/8</f>
        <v>1</v>
      </c>
    </row>
    <row r="4" spans="1:12" ht="21.75" customHeight="1" x14ac:dyDescent="0.15">
      <c r="A4" s="137"/>
      <c r="B4" s="137"/>
      <c r="C4" s="7" t="s">
        <v>184</v>
      </c>
      <c r="D4" s="70">
        <v>45348</v>
      </c>
      <c r="E4" s="70">
        <v>45366</v>
      </c>
      <c r="F4" s="7"/>
      <c r="G4" s="7"/>
      <c r="H4" s="7"/>
      <c r="I4" s="7"/>
      <c r="J4" s="7"/>
      <c r="K4" s="7"/>
      <c r="L4" s="72">
        <f t="shared" si="0"/>
        <v>0.25</v>
      </c>
    </row>
    <row r="5" spans="1:12" ht="21.75" customHeight="1" x14ac:dyDescent="0.15">
      <c r="A5" s="136">
        <v>2</v>
      </c>
      <c r="B5" s="136" t="s">
        <v>186</v>
      </c>
      <c r="C5" s="69" t="s">
        <v>183</v>
      </c>
      <c r="D5" s="70">
        <v>45345</v>
      </c>
      <c r="E5" s="70">
        <v>45363</v>
      </c>
      <c r="F5" s="70">
        <v>45373</v>
      </c>
      <c r="G5" s="70">
        <v>45402</v>
      </c>
      <c r="H5" s="70">
        <v>45444</v>
      </c>
      <c r="I5" s="70">
        <v>45453</v>
      </c>
      <c r="J5" s="70">
        <v>45469</v>
      </c>
      <c r="K5" s="70">
        <v>45484</v>
      </c>
      <c r="L5" s="72">
        <f t="shared" si="0"/>
        <v>1</v>
      </c>
    </row>
    <row r="6" spans="1:12" ht="21.75" customHeight="1" x14ac:dyDescent="0.15">
      <c r="A6" s="137"/>
      <c r="B6" s="137"/>
      <c r="C6" s="69" t="s">
        <v>184</v>
      </c>
      <c r="D6" s="70">
        <v>45348</v>
      </c>
      <c r="E6" s="70">
        <v>45366</v>
      </c>
      <c r="F6" s="70">
        <v>45373</v>
      </c>
      <c r="G6" s="69"/>
      <c r="H6" s="69"/>
      <c r="I6" s="69"/>
      <c r="J6" s="69"/>
      <c r="K6" s="69"/>
      <c r="L6" s="72">
        <f t="shared" si="0"/>
        <v>0.375</v>
      </c>
    </row>
    <row r="7" spans="1:12" ht="21.75" customHeight="1" x14ac:dyDescent="0.15">
      <c r="A7" s="136">
        <v>3</v>
      </c>
      <c r="B7" s="136" t="s">
        <v>188</v>
      </c>
      <c r="C7" s="71" t="s">
        <v>183</v>
      </c>
      <c r="D7" s="70">
        <v>45345</v>
      </c>
      <c r="E7" s="70">
        <v>45363</v>
      </c>
      <c r="F7" s="70">
        <v>45373</v>
      </c>
      <c r="G7" s="70">
        <v>45402</v>
      </c>
      <c r="H7" s="70">
        <v>45444</v>
      </c>
      <c r="I7" s="70">
        <v>45453</v>
      </c>
      <c r="J7" s="70">
        <v>45469</v>
      </c>
      <c r="K7" s="70">
        <v>45484</v>
      </c>
      <c r="L7" s="72">
        <f t="shared" si="0"/>
        <v>1</v>
      </c>
    </row>
    <row r="8" spans="1:12" ht="21.75" customHeight="1" x14ac:dyDescent="0.15">
      <c r="A8" s="137"/>
      <c r="B8" s="137"/>
      <c r="C8" s="71" t="s">
        <v>184</v>
      </c>
      <c r="D8" s="70">
        <v>45348</v>
      </c>
      <c r="E8" s="70">
        <v>45366</v>
      </c>
      <c r="F8" s="70">
        <v>45373</v>
      </c>
      <c r="G8" s="70">
        <v>45402</v>
      </c>
      <c r="H8" s="71"/>
      <c r="I8" s="71"/>
      <c r="J8" s="71"/>
      <c r="K8" s="71"/>
      <c r="L8" s="72">
        <f t="shared" si="0"/>
        <v>0.5</v>
      </c>
    </row>
    <row r="9" spans="1:12" ht="21.75" customHeight="1" x14ac:dyDescent="0.15">
      <c r="A9" s="7"/>
      <c r="B9" s="7"/>
      <c r="C9" s="7"/>
      <c r="D9" s="7"/>
      <c r="E9" s="7"/>
      <c r="F9" s="7"/>
      <c r="G9" s="7"/>
      <c r="H9" s="7"/>
      <c r="I9" s="7"/>
      <c r="J9" s="7"/>
      <c r="K9" s="7"/>
    </row>
    <row r="10" spans="1:12" ht="21.75" customHeight="1" x14ac:dyDescent="0.1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2" ht="21.75" customHeight="1" x14ac:dyDescent="0.1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</row>
    <row r="12" spans="1:12" ht="21.75" customHeight="1" x14ac:dyDescent="0.1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</row>
    <row r="13" spans="1:12" ht="21.75" customHeight="1" x14ac:dyDescent="0.1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</row>
    <row r="14" spans="1:12" ht="21.75" customHeight="1" x14ac:dyDescent="0.1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</row>
    <row r="15" spans="1:12" ht="21.75" customHeight="1" x14ac:dyDescent="0.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</row>
    <row r="16" spans="1:12" ht="21.75" customHeight="1" x14ac:dyDescent="0.1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</row>
    <row r="17" spans="1:11" ht="21.75" customHeight="1" x14ac:dyDescent="0.1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</row>
    <row r="18" spans="1:11" ht="21.75" customHeight="1" x14ac:dyDescent="0.1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</row>
    <row r="19" spans="1:11" ht="21.75" customHeight="1" x14ac:dyDescent="0.1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</row>
    <row r="20" spans="1:11" ht="21.75" customHeight="1" x14ac:dyDescent="0.1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</row>
    <row r="21" spans="1:11" ht="21.75" customHeight="1" x14ac:dyDescent="0.1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</row>
    <row r="22" spans="1:11" ht="21.75" customHeight="1" x14ac:dyDescent="0.1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</row>
  </sheetData>
  <mergeCells count="10">
    <mergeCell ref="B7:B8"/>
    <mergeCell ref="A7:A8"/>
    <mergeCell ref="A5:A6"/>
    <mergeCell ref="B5:B6"/>
    <mergeCell ref="D1:K1"/>
    <mergeCell ref="C1:C2"/>
    <mergeCell ref="B1:B2"/>
    <mergeCell ref="A1:A2"/>
    <mergeCell ref="B3:B4"/>
    <mergeCell ref="A3:A4"/>
  </mergeCells>
  <phoneticPr fontId="1" type="noConversion"/>
  <conditionalFormatting sqref="L3:L22">
    <cfRule type="dataBar" priority="1">
      <dataBar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{92783C47-B71F-4C18-B91D-3E38ACF8FB79}</x14:id>
        </ext>
      </extLst>
    </cfRule>
  </conditionalFormatting>
  <pageMargins left="0.7" right="0.7" top="0.75" bottom="0.75" header="0.3" footer="0.3"/>
  <pageSetup paperSize="9" orientation="portrait" horizontalDpi="0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2783C47-B71F-4C18-B91D-3E38ACF8FB79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L3:L22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2022年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2025-08-12T02:00:53Z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b4151c9b-462c-47ba-afe7-41e5d060cb58</vt:lpwstr>
  </property>
</Properties>
</file>